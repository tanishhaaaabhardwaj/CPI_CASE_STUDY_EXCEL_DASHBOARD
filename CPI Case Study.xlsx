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1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4.xml" ContentType="application/vnd.openxmlformats-officedocument.drawingml.chartshapes+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2392b83bc978897d/Desktop/"/>
    </mc:Choice>
  </mc:AlternateContent>
  <xr:revisionPtr revIDLastSave="1550" documentId="8_{1863F506-8166-407A-AD03-8F9E59CF309E}" xr6:coauthVersionLast="47" xr6:coauthVersionMax="47" xr10:uidLastSave="{9E079AB0-24B8-45E5-AFFD-F930DE22605B}"/>
  <bookViews>
    <workbookView xWindow="-110" yWindow="-110" windowWidth="19420" windowHeight="10300" firstSheet="9" activeTab="13" xr2:uid="{00000000-000D-0000-FFFF-FFFF00000000}"/>
  </bookViews>
  <sheets>
    <sheet name="Raw Data" sheetId="1" r:id="rId1"/>
    <sheet name="Data Dictionary" sheetId="4" r:id="rId2"/>
    <sheet name="Main Data" sheetId="3" r:id="rId3"/>
    <sheet name="Broad Categories" sheetId="8" r:id="rId4"/>
    <sheet name="EDA 1" sheetId="10" r:id="rId5"/>
    <sheet name="EDA 2" sheetId="15" r:id="rId6"/>
    <sheet name="EDA 3" sheetId="16" r:id="rId7"/>
    <sheet name="EDA 4" sheetId="17" r:id="rId8"/>
    <sheet name="Problem 4" sheetId="18" r:id="rId9"/>
    <sheet name="EDA 5" sheetId="21" r:id="rId10"/>
    <sheet name="Problem 5 Raw Data" sheetId="23" r:id="rId11"/>
    <sheet name="Problem 5" sheetId="24" r:id="rId12"/>
    <sheet name="Sheet4" sheetId="28" r:id="rId13"/>
    <sheet name="Dashboard" sheetId="26" r:id="rId14"/>
    <sheet name="Notes" sheetId="5" r:id="rId15"/>
  </sheets>
  <definedNames>
    <definedName name="_xlnm._FilterDatabase" localSheetId="3" hidden="1">'Broad Categories'!$A$1:$J$373</definedName>
    <definedName name="_xlnm._FilterDatabase" localSheetId="2" hidden="1">'Main Data'!$A$1:$AE$373</definedName>
    <definedName name="_xlnm._FilterDatabase" localSheetId="14" hidden="1">Notes!$B$2:$C$229</definedName>
    <definedName name="_xlchart.v1.0" hidden="1">Sheet4!$C$34:$C$46</definedName>
    <definedName name="_xlchart.v1.1" hidden="1">Sheet4!$D$33</definedName>
    <definedName name="_xlchart.v1.10" hidden="1">Sheet4!$D$33</definedName>
    <definedName name="_xlchart.v1.11" hidden="1">Sheet4!$D$34:$D$46</definedName>
    <definedName name="_xlchart.v1.2" hidden="1">Sheet4!$D$34:$D$46</definedName>
    <definedName name="_xlchart.v1.3" hidden="1">Sheet4!$C$34:$C$46</definedName>
    <definedName name="_xlchart.v1.4" hidden="1">Sheet4!$D$33</definedName>
    <definedName name="_xlchart.v1.5" hidden="1">Sheet4!$D$34:$D$46</definedName>
    <definedName name="_xlchart.v1.6" hidden="1">Sheet4!$C$34:$C$46</definedName>
    <definedName name="_xlchart.v1.7" hidden="1">Sheet4!$D$33</definedName>
    <definedName name="_xlchart.v1.8" hidden="1">Sheet4!$D$34:$D$46</definedName>
    <definedName name="_xlchart.v1.9" hidden="1">Sheet4!$C$34:$C$46</definedName>
    <definedName name="ExternalData_1" localSheetId="10" hidden="1">'Problem 5 Raw Data'!$A$1:$C$25</definedName>
    <definedName name="Slicer_Month">#N/A</definedName>
    <definedName name="Slicer_Sector">#N/A</definedName>
    <definedName name="Slicer_Year">#N/A</definedName>
  </definedNames>
  <calcPr calcId="191029"/>
  <pivotCaches>
    <pivotCache cacheId="9"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 i="26" l="1"/>
  <c r="Q3" i="26"/>
  <c r="M3" i="26"/>
  <c r="I3" i="26"/>
  <c r="E3" i="26"/>
  <c r="D46" i="16"/>
  <c r="E46" i="16"/>
  <c r="F46" i="16"/>
  <c r="G46" i="16"/>
  <c r="H46" i="16"/>
  <c r="I46" i="16"/>
  <c r="J46" i="16"/>
  <c r="K46" i="16"/>
  <c r="L46" i="16"/>
  <c r="M46" i="16"/>
  <c r="N46" i="16"/>
  <c r="O46" i="16"/>
  <c r="P46" i="16"/>
  <c r="I32" i="21"/>
  <c r="H32" i="21"/>
  <c r="G32" i="21"/>
  <c r="F32" i="21"/>
  <c r="E32" i="21"/>
  <c r="G29" i="21"/>
  <c r="I32" i="24"/>
  <c r="I33" i="24"/>
  <c r="I34" i="24"/>
  <c r="I35" i="24"/>
  <c r="I36" i="24"/>
  <c r="I37" i="24"/>
  <c r="I38" i="24"/>
  <c r="I39" i="24"/>
  <c r="I40" i="24"/>
  <c r="I41" i="24"/>
  <c r="I42" i="24"/>
  <c r="I43" i="24"/>
  <c r="I44" i="24"/>
  <c r="I45" i="24"/>
  <c r="I46" i="24"/>
  <c r="I47" i="24"/>
  <c r="I48" i="24"/>
  <c r="I49" i="24"/>
  <c r="I50" i="24"/>
  <c r="I51" i="24"/>
  <c r="I52" i="24"/>
  <c r="I53" i="24"/>
  <c r="I31" i="24"/>
  <c r="I29" i="21"/>
  <c r="H29" i="21"/>
  <c r="L4" i="24"/>
  <c r="L5" i="24"/>
  <c r="L6" i="24"/>
  <c r="L7" i="24"/>
  <c r="L8" i="24"/>
  <c r="L9" i="24"/>
  <c r="L10" i="24"/>
  <c r="L11" i="24"/>
  <c r="L12" i="24"/>
  <c r="L13" i="24"/>
  <c r="L14" i="24"/>
  <c r="L15" i="24"/>
  <c r="L16" i="24"/>
  <c r="L17" i="24"/>
  <c r="L18" i="24"/>
  <c r="L19" i="24"/>
  <c r="L20" i="24"/>
  <c r="L21" i="24"/>
  <c r="L22" i="24"/>
  <c r="L23" i="24"/>
  <c r="L24" i="24"/>
  <c r="L25" i="24"/>
  <c r="L26" i="24"/>
  <c r="J4" i="24"/>
  <c r="J5" i="24"/>
  <c r="J6" i="24"/>
  <c r="J7" i="24"/>
  <c r="J8" i="24"/>
  <c r="J9" i="24"/>
  <c r="J10" i="24"/>
  <c r="J11" i="24"/>
  <c r="J12" i="24"/>
  <c r="J13" i="24"/>
  <c r="J14" i="24"/>
  <c r="J15" i="24"/>
  <c r="J16" i="24"/>
  <c r="J17" i="24"/>
  <c r="J18" i="24"/>
  <c r="J19" i="24"/>
  <c r="J20" i="24"/>
  <c r="J21" i="24"/>
  <c r="J22" i="24"/>
  <c r="J23" i="24"/>
  <c r="J24" i="24"/>
  <c r="J25" i="24"/>
  <c r="J26" i="24"/>
  <c r="J3" i="24"/>
  <c r="L3" i="24"/>
  <c r="H4" i="24"/>
  <c r="H5" i="24"/>
  <c r="H6" i="24"/>
  <c r="H7" i="24"/>
  <c r="H8" i="24"/>
  <c r="H9" i="24"/>
  <c r="H10" i="24"/>
  <c r="H11" i="24"/>
  <c r="H12" i="24"/>
  <c r="H13" i="24"/>
  <c r="H14" i="24"/>
  <c r="H15" i="24"/>
  <c r="H16" i="24"/>
  <c r="H17" i="24"/>
  <c r="H18" i="24"/>
  <c r="H19" i="24"/>
  <c r="H20" i="24"/>
  <c r="H21" i="24"/>
  <c r="H22" i="24"/>
  <c r="H23" i="24"/>
  <c r="H24" i="24"/>
  <c r="H25" i="24"/>
  <c r="H26" i="24"/>
  <c r="H3" i="24"/>
  <c r="F4" i="24"/>
  <c r="F5" i="24"/>
  <c r="F6" i="24"/>
  <c r="F7" i="24"/>
  <c r="F8" i="24"/>
  <c r="F9" i="24"/>
  <c r="F10" i="24"/>
  <c r="F11" i="24"/>
  <c r="F12" i="24"/>
  <c r="F13" i="24"/>
  <c r="F14" i="24"/>
  <c r="F15" i="24"/>
  <c r="F16" i="24"/>
  <c r="F17" i="24"/>
  <c r="F18" i="24"/>
  <c r="F19" i="24"/>
  <c r="F20" i="24"/>
  <c r="F21" i="24"/>
  <c r="F22" i="24"/>
  <c r="F23" i="24"/>
  <c r="F24" i="24"/>
  <c r="F25" i="24"/>
  <c r="F26" i="24"/>
  <c r="F3" i="24"/>
  <c r="D4" i="24"/>
  <c r="D5" i="24"/>
  <c r="D6" i="24"/>
  <c r="D7" i="24"/>
  <c r="D8" i="24"/>
  <c r="D9" i="24"/>
  <c r="D10" i="24"/>
  <c r="D11" i="24"/>
  <c r="D12" i="24"/>
  <c r="D13" i="24"/>
  <c r="D14" i="24"/>
  <c r="D15" i="24"/>
  <c r="D16" i="24"/>
  <c r="D17" i="24"/>
  <c r="D18" i="24"/>
  <c r="D19" i="24"/>
  <c r="D20" i="24"/>
  <c r="D21" i="24"/>
  <c r="D22" i="24"/>
  <c r="D23" i="24"/>
  <c r="D24" i="24"/>
  <c r="D25" i="24"/>
  <c r="D26" i="24"/>
  <c r="D3" i="24"/>
  <c r="E29" i="21" l="1"/>
  <c r="F29" i="21"/>
  <c r="O49" i="5" l="1"/>
  <c r="M49" i="5"/>
  <c r="K49" i="5"/>
  <c r="K50" i="5"/>
  <c r="M50" i="5"/>
  <c r="O50" i="5"/>
  <c r="K51" i="5"/>
  <c r="M51" i="5"/>
  <c r="O51" i="5"/>
  <c r="K52" i="5"/>
  <c r="M52" i="5"/>
  <c r="O52" i="5"/>
  <c r="K53" i="5"/>
  <c r="M53" i="5"/>
  <c r="O53" i="5"/>
  <c r="K54" i="5"/>
  <c r="M54" i="5"/>
  <c r="O54" i="5"/>
  <c r="K55" i="5"/>
  <c r="M55" i="5"/>
  <c r="O55" i="5"/>
  <c r="K56" i="5"/>
  <c r="M56" i="5"/>
  <c r="O56" i="5"/>
  <c r="K57" i="5"/>
  <c r="M57" i="5"/>
  <c r="O57" i="5"/>
  <c r="K58" i="5"/>
  <c r="M58" i="5"/>
  <c r="O58" i="5"/>
  <c r="K59" i="5"/>
  <c r="M59" i="5"/>
  <c r="O59" i="5"/>
  <c r="K60" i="5"/>
  <c r="M60" i="5"/>
  <c r="O60" i="5"/>
  <c r="K61" i="5"/>
  <c r="M61" i="5"/>
  <c r="O61" i="5"/>
  <c r="K62" i="5"/>
  <c r="M62" i="5"/>
  <c r="O62" i="5"/>
  <c r="K63" i="5"/>
  <c r="M63" i="5"/>
  <c r="O63" i="5"/>
  <c r="K64" i="5"/>
  <c r="M64" i="5"/>
  <c r="O64" i="5"/>
  <c r="K65" i="5"/>
  <c r="M65" i="5"/>
  <c r="O65" i="5"/>
  <c r="K66" i="5"/>
  <c r="M66" i="5"/>
  <c r="O66" i="5"/>
  <c r="K67" i="5"/>
  <c r="M67" i="5"/>
  <c r="O67" i="5"/>
  <c r="K68" i="5"/>
  <c r="M68" i="5"/>
  <c r="O68" i="5"/>
  <c r="K69" i="5"/>
  <c r="M69" i="5"/>
  <c r="O69" i="5"/>
  <c r="K70" i="5"/>
  <c r="M70" i="5"/>
  <c r="O70" i="5"/>
  <c r="K71" i="5"/>
  <c r="M71" i="5"/>
  <c r="O71" i="5"/>
  <c r="K72" i="5"/>
  <c r="M72" i="5"/>
  <c r="O72" i="5"/>
  <c r="O22" i="5"/>
  <c r="O23" i="5"/>
  <c r="O24" i="5"/>
  <c r="O25" i="5"/>
  <c r="O26" i="5"/>
  <c r="O27" i="5"/>
  <c r="O28" i="5"/>
  <c r="O29" i="5"/>
  <c r="O30" i="5"/>
  <c r="O31" i="5"/>
  <c r="O32" i="5"/>
  <c r="O33" i="5"/>
  <c r="O34" i="5"/>
  <c r="O35" i="5"/>
  <c r="O36" i="5"/>
  <c r="O37" i="5"/>
  <c r="O38" i="5"/>
  <c r="O39" i="5"/>
  <c r="O40" i="5"/>
  <c r="O41" i="5"/>
  <c r="O42" i="5"/>
  <c r="O43" i="5"/>
  <c r="O21" i="5"/>
  <c r="M22" i="5"/>
  <c r="M23" i="5"/>
  <c r="M24" i="5"/>
  <c r="M25" i="5"/>
  <c r="M26" i="5"/>
  <c r="M27" i="5"/>
  <c r="M28" i="5"/>
  <c r="M29" i="5"/>
  <c r="M30" i="5"/>
  <c r="M31" i="5"/>
  <c r="M32" i="5"/>
  <c r="M33" i="5"/>
  <c r="M34" i="5"/>
  <c r="M35" i="5"/>
  <c r="M36" i="5"/>
  <c r="M37" i="5"/>
  <c r="M38" i="5"/>
  <c r="M39" i="5"/>
  <c r="M40" i="5"/>
  <c r="M41" i="5"/>
  <c r="M42" i="5"/>
  <c r="M43" i="5"/>
  <c r="M21" i="5"/>
  <c r="K22" i="5"/>
  <c r="K23" i="5"/>
  <c r="K24" i="5"/>
  <c r="K25" i="5"/>
  <c r="K26" i="5"/>
  <c r="K27" i="5"/>
  <c r="K28" i="5"/>
  <c r="K29" i="5"/>
  <c r="K30" i="5"/>
  <c r="K31" i="5"/>
  <c r="K32" i="5"/>
  <c r="K33" i="5"/>
  <c r="K34" i="5"/>
  <c r="K35" i="5"/>
  <c r="K36" i="5"/>
  <c r="K37" i="5"/>
  <c r="K38" i="5"/>
  <c r="K39" i="5"/>
  <c r="K40" i="5"/>
  <c r="K41" i="5"/>
  <c r="K42" i="5"/>
  <c r="K43" i="5"/>
  <c r="K21" i="5"/>
  <c r="Q31" i="18"/>
  <c r="Q32" i="18"/>
  <c r="Q33" i="18"/>
  <c r="Q34" i="18"/>
  <c r="Q35" i="18"/>
  <c r="Q36" i="18"/>
  <c r="Q37" i="18"/>
  <c r="Q38" i="18"/>
  <c r="Q39" i="18"/>
  <c r="Q40" i="18"/>
  <c r="Q41" i="18"/>
  <c r="Q42" i="18"/>
  <c r="Q43" i="18"/>
  <c r="Q44" i="18"/>
  <c r="Q45" i="18"/>
  <c r="Q46" i="18"/>
  <c r="Q47" i="18"/>
  <c r="Q48" i="18"/>
  <c r="Q49" i="18"/>
  <c r="Q50" i="18"/>
  <c r="Q51" i="18"/>
  <c r="Q52" i="18"/>
  <c r="Q30" i="18"/>
  <c r="X31" i="18"/>
  <c r="X32" i="18"/>
  <c r="X33" i="18"/>
  <c r="X34" i="18"/>
  <c r="X35" i="18"/>
  <c r="X36" i="18"/>
  <c r="X37" i="18"/>
  <c r="X38" i="18"/>
  <c r="X39" i="18"/>
  <c r="X40" i="18"/>
  <c r="X41" i="18"/>
  <c r="X42" i="18"/>
  <c r="X43" i="18"/>
  <c r="X44" i="18"/>
  <c r="X45" i="18"/>
  <c r="X46" i="18"/>
  <c r="X47" i="18"/>
  <c r="X48" i="18"/>
  <c r="X49" i="18"/>
  <c r="X50" i="18"/>
  <c r="X51" i="18"/>
  <c r="X52" i="18"/>
  <c r="X30" i="18"/>
  <c r="AA380" i="3"/>
  <c r="X2" i="18"/>
  <c r="Q2" i="18"/>
  <c r="V16" i="5"/>
  <c r="U16" i="5"/>
  <c r="T16" i="5"/>
  <c r="S16" i="5"/>
  <c r="R16" i="5"/>
  <c r="Q16" i="5"/>
  <c r="P16" i="5"/>
  <c r="O16" i="5"/>
  <c r="N16" i="5"/>
  <c r="M16" i="5"/>
  <c r="L16" i="5"/>
  <c r="K16" i="5"/>
  <c r="J16" i="5"/>
  <c r="D7" i="16"/>
  <c r="D8" i="16"/>
  <c r="D9" i="16"/>
  <c r="D10" i="16"/>
  <c r="D11" i="16"/>
  <c r="D12" i="16"/>
  <c r="D13" i="16"/>
  <c r="D14" i="16"/>
  <c r="D15" i="16"/>
  <c r="D16" i="16"/>
  <c r="D17" i="16"/>
  <c r="D6" i="16"/>
  <c r="C16" i="10"/>
  <c r="C15" i="10"/>
  <c r="C14" i="10"/>
  <c r="C13" i="10"/>
  <c r="C12" i="10"/>
  <c r="I6" i="15"/>
  <c r="H6" i="15"/>
  <c r="G7" i="15"/>
  <c r="G8" i="15" s="1"/>
  <c r="V32" i="3"/>
  <c r="V31" i="3"/>
  <c r="V70" i="3"/>
  <c r="V65" i="3"/>
  <c r="V54" i="3"/>
  <c r="V44" i="3"/>
  <c r="V39" i="3"/>
  <c r="V26" i="3"/>
  <c r="V23" i="3"/>
  <c r="V34" i="3"/>
  <c r="V29" i="3"/>
  <c r="V21" i="3"/>
  <c r="V71" i="3"/>
  <c r="V102" i="3"/>
  <c r="V105" i="3"/>
  <c r="V98" i="3"/>
  <c r="V90" i="3"/>
  <c r="V95" i="3"/>
  <c r="V93" i="3"/>
  <c r="V73" i="3"/>
  <c r="V59" i="3"/>
  <c r="V55" i="3"/>
  <c r="V43" i="3"/>
  <c r="V132" i="3"/>
  <c r="V143" i="3"/>
  <c r="V154" i="3"/>
  <c r="V149" i="3"/>
  <c r="V141" i="3"/>
  <c r="V142" i="3"/>
  <c r="V144" i="3"/>
  <c r="V172" i="3"/>
  <c r="V171" i="3"/>
  <c r="V160" i="3"/>
  <c r="V136" i="3"/>
  <c r="V185" i="3"/>
  <c r="V191" i="3"/>
  <c r="V181" i="3"/>
  <c r="V163" i="3"/>
  <c r="V153" i="3"/>
  <c r="V155" i="3"/>
  <c r="V166" i="3"/>
  <c r="V158" i="3"/>
  <c r="V150" i="3"/>
  <c r="V168" i="3"/>
  <c r="V167" i="3"/>
  <c r="V228" i="3"/>
  <c r="V232" i="3"/>
  <c r="V237" i="3"/>
  <c r="V194" i="3"/>
  <c r="V165" i="3"/>
  <c r="V161" i="3"/>
  <c r="V116" i="3"/>
  <c r="V80" i="3"/>
  <c r="V88" i="3"/>
  <c r="V81" i="3"/>
  <c r="V61" i="3"/>
  <c r="V68" i="3"/>
  <c r="V91" i="3"/>
  <c r="AA381" i="3" s="1"/>
  <c r="V123" i="3"/>
  <c r="V130" i="3"/>
  <c r="V137" i="3"/>
  <c r="V135" i="3"/>
  <c r="V146" i="3"/>
  <c r="V131" i="3"/>
  <c r="V128" i="3"/>
  <c r="V164" i="3"/>
  <c r="V190" i="3"/>
  <c r="V193" i="3"/>
  <c r="V182" i="3"/>
  <c r="V197" i="3"/>
  <c r="V204" i="3"/>
  <c r="V230" i="3"/>
  <c r="V233" i="3"/>
  <c r="V222" i="3"/>
  <c r="V208" i="3"/>
  <c r="V202" i="3"/>
  <c r="V192" i="3"/>
  <c r="V205" i="3"/>
  <c r="V218" i="3"/>
  <c r="V211" i="3"/>
  <c r="V210" i="3"/>
  <c r="V268" i="3"/>
  <c r="V281" i="3"/>
  <c r="V270" i="3"/>
  <c r="V269" i="3"/>
  <c r="V267" i="3"/>
  <c r="V254" i="3"/>
  <c r="V266" i="3"/>
  <c r="V246" i="3"/>
  <c r="V252" i="3"/>
  <c r="V253" i="3"/>
  <c r="V247" i="3"/>
  <c r="V245" i="3"/>
  <c r="V276" i="3"/>
  <c r="V287" i="3"/>
  <c r="V280" i="3"/>
  <c r="V294" i="3"/>
  <c r="V293" i="3"/>
  <c r="D368" i="3"/>
  <c r="J6" i="15" l="1"/>
  <c r="H7" i="15"/>
  <c r="I7" i="15"/>
  <c r="J7" i="15" s="1"/>
  <c r="G9" i="15"/>
  <c r="I8" i="15"/>
  <c r="H8" i="15"/>
  <c r="C17" i="10"/>
  <c r="D17" i="10" s="1"/>
  <c r="J8" i="15" l="1"/>
  <c r="G10" i="15"/>
  <c r="I9" i="15"/>
  <c r="H9" i="15"/>
  <c r="D15" i="10"/>
  <c r="D16" i="10"/>
  <c r="D13" i="10"/>
  <c r="D12" i="10"/>
  <c r="D14" i="10"/>
  <c r="J9" i="15" l="1"/>
  <c r="G11" i="15"/>
  <c r="I10" i="15"/>
  <c r="H10" i="15"/>
  <c r="J10" i="15" l="1"/>
  <c r="G12" i="15"/>
  <c r="H12" i="15" s="1"/>
  <c r="I11" i="15"/>
  <c r="H11" i="15"/>
  <c r="J11"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E32108-783B-40E5-BECA-D38F9DA83500}"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19980D35-FF0E-4995-ADB6-CF602CA3570A}"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<sst xmlns="http://schemas.openxmlformats.org/spreadsheetml/2006/main" count="4393" uniqueCount="312">
  <si>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</si>
  <si>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</si>
  <si>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</si>
  <si>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</si>
  <si>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</si>
  <si>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</si>
  <si>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</si>
  <si>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</si>
  <si>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</si>
  <si>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</si>
  <si>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</si>
  <si>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</si>
  <si>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</si>
  <si>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</si>
  <si>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</si>
  <si>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</si>
  <si>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</si>
  <si>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</si>
  <si>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</si>
  <si>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</si>
  <si>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</si>
  <si>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</si>
  <si>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</si>
  <si>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</si>
  <si>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</si>
  <si>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</si>
  <si>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</si>
  <si>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</si>
  <si>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</si>
  <si>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</si>
  <si>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</si>
  <si>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</si>
  <si>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</si>
  <si>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</si>
  <si>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</si>
  <si>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</si>
  <si>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</si>
  <si>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</si>
  <si>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</si>
  <si>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</si>
  <si>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</si>
  <si>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</si>
  <si>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</si>
  <si>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</si>
  <si>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November</t>
  </si>
  <si>
    <t>December</t>
  </si>
  <si>
    <t>Marcrh</t>
  </si>
  <si>
    <t>-</t>
  </si>
  <si>
    <t>CN</t>
  </si>
  <si>
    <t>Password for the raw data:</t>
  </si>
  <si>
    <t>Data Dictionary</t>
  </si>
  <si>
    <t>Column Name</t>
  </si>
  <si>
    <t>Description</t>
  </si>
  <si>
    <t>Sector where the consumer lives</t>
  </si>
  <si>
    <t>Year in which the products are consumed</t>
  </si>
  <si>
    <t>Month in which the products are consumed</t>
  </si>
  <si>
    <t>Overall index value for all the categories combined of the month</t>
  </si>
  <si>
    <t>Index value spent on miscellaneous things</t>
  </si>
  <si>
    <t xml:space="preserve">Index value paid by the consumers for cereals and products </t>
  </si>
  <si>
    <t xml:space="preserve">Index value paid by the consumers for meat and fish </t>
  </si>
  <si>
    <t xml:space="preserve">Index value paid by the consumers on egg </t>
  </si>
  <si>
    <t xml:space="preserve">Index value paid by the consumers for milk and products </t>
  </si>
  <si>
    <t xml:space="preserve">Index value paid by the consumers for oil and fats  </t>
  </si>
  <si>
    <t xml:space="preserve">Index value paid by the consumers for fruits </t>
  </si>
  <si>
    <t xml:space="preserve">Index value paid by the consumers for vegetable </t>
  </si>
  <si>
    <t xml:space="preserve">Index value paid by the consumers for pulses and products </t>
  </si>
  <si>
    <t xml:space="preserve">Index value paid by the consumers for sugar and confectionary </t>
  </si>
  <si>
    <t xml:space="preserve">Index value paid by the consumers for non alcoholic beverages </t>
  </si>
  <si>
    <t xml:space="preserve">Index value paid by the consumers on prepared meals,snacks,sweets,etc </t>
  </si>
  <si>
    <t xml:space="preserve">Index value paid by the consumers for food and biverages </t>
  </si>
  <si>
    <t xml:space="preserve">Index value paid by the consumers Pan, tobacco and intoxicants products </t>
  </si>
  <si>
    <t>Index value spent by the consumers on clothing</t>
  </si>
  <si>
    <t>Index value spent by the consumers on footwear</t>
  </si>
  <si>
    <t>Index value spent by the consumers on clothing and footwear</t>
  </si>
  <si>
    <t>Index value spent by the consumers on housing</t>
  </si>
  <si>
    <t>Index value spent by the consumers on fuel and light</t>
  </si>
  <si>
    <t>Index value spent by the consumers on household goods and services</t>
  </si>
  <si>
    <t>Index value spent by the consumers on their health</t>
  </si>
  <si>
    <t>Index value spent by the consumers on their transport and communication</t>
  </si>
  <si>
    <t>Index value spent by the consumers for their recreation and amusement</t>
  </si>
  <si>
    <t>Index value spent by the consumers on their education</t>
  </si>
  <si>
    <t>Index value spent by the consumers on their personal care and effects</t>
  </si>
  <si>
    <t>YearMonth</t>
  </si>
  <si>
    <t>January 2013</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</si>
  <si>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</si>
  <si>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</si>
  <si>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</si>
  <si>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</si>
  <si>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</si>
  <si>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</si>
  <si>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</si>
  <si>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</si>
  <si>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</si>
  <si>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</si>
  <si>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</si>
  <si>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</si>
  <si>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</si>
  <si>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</si>
  <si>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</si>
  <si>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</si>
  <si>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</si>
  <si>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</si>
  <si>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</si>
  <si>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</si>
  <si>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</si>
  <si>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</si>
  <si>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</si>
  <si>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</si>
  <si>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</si>
  <si>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</si>
  <si>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</si>
  <si>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</si>
  <si>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</si>
  <si>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</si>
  <si>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</si>
  <si>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</si>
  <si>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</si>
  <si>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</si>
  <si>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</si>
  <si>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</si>
  <si>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</si>
  <si>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</si>
  <si>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</si>
  <si>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</si>
  <si>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</si>
  <si>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</si>
  <si>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</si>
  <si>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</si>
  <si>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</si>
  <si>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</si>
  <si>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</si>
  <si>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</si>
  <si>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</si>
  <si>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</si>
  <si>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</si>
  <si>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</si>
  <si>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</si>
  <si>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</si>
  <si>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</si>
  <si>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</si>
  <si>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</si>
  <si>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</si>
  <si>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</si>
  <si>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</si>
  <si>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</si>
  <si>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</si>
  <si>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</si>
  <si>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</si>
  <si>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</si>
  <si>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</si>
  <si>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</si>
  <si>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</si>
  <si>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</si>
  <si>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</si>
  <si>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</si>
  <si>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</si>
  <si>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</si>
  <si>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</si>
  <si>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</si>
  <si>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</si>
  <si>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</si>
  <si>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</si>
  <si>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</si>
  <si>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</si>
  <si>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</si>
  <si>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</si>
  <si>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</si>
  <si>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</si>
  <si>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</si>
  <si>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</si>
  <si>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</si>
  <si>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</si>
  <si>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</si>
  <si>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</si>
  <si>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</si>
  <si>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</si>
  <si>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</si>
  <si>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</si>
  <si>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</si>
  <si>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</si>
  <si>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</si>
  <si>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</si>
  <si>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</si>
  <si>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</si>
  <si>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</si>
  <si>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</si>
  <si>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</si>
  <si>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</si>
  <si>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</si>
  <si>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</si>
  <si>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</si>
  <si>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</si>
  <si>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</si>
  <si>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</si>
  <si>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</si>
  <si>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</si>
  <si>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</si>
  <si>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</si>
  <si>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</si>
  <si>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</si>
  <si>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</si>
  <si>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</si>
  <si>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</si>
  <si>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</si>
  <si>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</si>
  <si>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</si>
  <si>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</si>
  <si>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month</t>
  </si>
  <si>
    <t>index</t>
  </si>
  <si>
    <t>General Index</t>
  </si>
  <si>
    <t>Broad categories</t>
  </si>
  <si>
    <t>FOOD &amp; BEVERAGES</t>
  </si>
  <si>
    <t>INTOXICANTS &amp; TOBACCO</t>
  </si>
  <si>
    <t>HOUSING</t>
  </si>
  <si>
    <t>MISCELLANEOUS</t>
  </si>
  <si>
    <t>CLOTHING AND FOOTWEAR</t>
  </si>
  <si>
    <t xml:space="preserve">Clothing and footwear </t>
  </si>
  <si>
    <t>Broad Categories</t>
  </si>
  <si>
    <t xml:space="preserve">Total index value </t>
  </si>
  <si>
    <t>% of contribution</t>
  </si>
  <si>
    <t>Total</t>
  </si>
  <si>
    <t>INSIGHTS</t>
  </si>
  <si>
    <t>2.Housing and clothing contributed equally during May 2023 which tells us that consumers spent equally on their lifestyle.</t>
  </si>
  <si>
    <t>3.Tobacco and intoxicants contributed the least as not all the consumers consumes it but all the other category is consumed by all the consumers somehow.</t>
  </si>
  <si>
    <t>1.Food and beverages is the biggest contributor among all the other categories by contributing 42% more than the least contributed category.</t>
  </si>
  <si>
    <t>Inflation</t>
  </si>
  <si>
    <t xml:space="preserve">CONTRIBUTION OF RURAL+URBAN IN MAY 2023 </t>
  </si>
  <si>
    <t>cant be calculated as we are not having the value of december 2023.</t>
  </si>
  <si>
    <t xml:space="preserve">Y-O-Y INFLATION </t>
  </si>
  <si>
    <t>Rural+Urban General index</t>
  </si>
  <si>
    <t>To analyze the year-on-year (Y-o-Y) trend of CPI inflation (combining rural and urban data) from 2017 onwards.</t>
  </si>
  <si>
    <t>OBJECTIVE 2</t>
  </si>
  <si>
    <t>OBJECTIVE 1</t>
  </si>
  <si>
    <t xml:space="preserve">Reasons for 2019 being the highest </t>
  </si>
  <si>
    <t>1.Due to floods in major producing states, the prices of fruits,vegetables and various goods increases.</t>
  </si>
  <si>
    <t>2.The main reason of this being the highest is just because of food inflation which accounted over 70% in the inflation rate.</t>
  </si>
  <si>
    <t>3.Another reason is increase in the prices of the crude oil.</t>
  </si>
  <si>
    <t>M-O-M Inflation</t>
  </si>
  <si>
    <t xml:space="preserve">To analyze monthly trends(Highest and Lowest Month) and key contributors to food inflation in India for the month of June 2022 till May 2023. </t>
  </si>
  <si>
    <t>SUM</t>
  </si>
  <si>
    <t>Prepared meals, snacks, sweets etc. had contributed the most in the food and beverages category</t>
  </si>
  <si>
    <t>June 2022 has the largest M-O-M inflation by having 1.027%</t>
  </si>
  <si>
    <t>February 2023 is having the least M-O-M by having -0.583</t>
  </si>
  <si>
    <t>OBJECTIVE 3</t>
  </si>
  <si>
    <t>after Mar 2020</t>
  </si>
  <si>
    <t>FOOD</t>
  </si>
  <si>
    <t>ESSENTIAL SERVICES</t>
  </si>
  <si>
    <t>HEALTH</t>
  </si>
  <si>
    <t>PROBLEM 3</t>
  </si>
  <si>
    <t>PROBLEM 4</t>
  </si>
  <si>
    <t>24 months before march 2020</t>
  </si>
  <si>
    <t>24 month after march 2020</t>
  </si>
  <si>
    <t>INFLATION(FOOD)</t>
  </si>
  <si>
    <t>INFLATION(ESSENTIAL)</t>
  </si>
  <si>
    <t>INFLATION(HEALTH)</t>
  </si>
  <si>
    <t>OBJECTIVE 4</t>
  </si>
  <si>
    <t>MARCH</t>
  </si>
  <si>
    <t>MARCH 2020</t>
  </si>
  <si>
    <t>Inflation on food items increases more after march 2020 as COVID pandemic affects food category the most as the inflation rate on food items was less before march 2020.</t>
  </si>
  <si>
    <t>Inflation on essential items and healthcare system was less after march 2020 as due to pandemic the price of healthcare and essential items as government was giving subsidies to all its citizens</t>
  </si>
  <si>
    <t>After may 2020 the inflation rate instantly decreases and became lowest in june 2020 and after that start increasing gradually</t>
  </si>
  <si>
    <t>Before march 2020, the maximun inflation was for the healthcare sector in the month of october 2018.</t>
  </si>
  <si>
    <t>Before march 2020, the inflation rate on essentials was moderate neither too high nor low</t>
  </si>
  <si>
    <t>After march 2020 both the sectors was having slight changes.</t>
  </si>
  <si>
    <t>OBJECTIVE 5</t>
  </si>
  <si>
    <t>IMPORT/EXPORT</t>
  </si>
  <si>
    <t>YEAR</t>
  </si>
  <si>
    <t xml:space="preserve"> CRUDE OIL</t>
  </si>
  <si>
    <t>APRIL</t>
  </si>
  <si>
    <t>MAY</t>
  </si>
  <si>
    <t>JUNE</t>
  </si>
  <si>
    <t>JULY</t>
  </si>
  <si>
    <t>AUGUST</t>
  </si>
  <si>
    <t>SEPTEMBER</t>
  </si>
  <si>
    <t>OCTOBER</t>
  </si>
  <si>
    <t>NOVEMBER</t>
  </si>
  <si>
    <t>DECEMBER</t>
  </si>
  <si>
    <t>JANUARY</t>
  </si>
  <si>
    <t>FEBRUARY</t>
  </si>
  <si>
    <t>IMPORT</t>
  </si>
  <si>
    <t>Inflation(Food)</t>
  </si>
  <si>
    <t>Inflation(clothing)</t>
  </si>
  <si>
    <t>Inflation(Housing)</t>
  </si>
  <si>
    <t>Inflation(Miscellaneous)</t>
  </si>
  <si>
    <t>Inflation(Tobacco)</t>
  </si>
  <si>
    <t>MONTH</t>
  </si>
  <si>
    <t>M-O-M INFLATION RATE</t>
  </si>
  <si>
    <t>CORRELATION</t>
  </si>
  <si>
    <t>M-O-M Changes</t>
  </si>
  <si>
    <t>To assess how fluctuations in imported crude oil prices from 2021 to 2023 have impacted India’s inflation rates and identify which CPI categories are most affected by these global price changes.</t>
  </si>
  <si>
    <t>CRUDE OIL</t>
  </si>
  <si>
    <t>Housing has the highest correlation with crude oil price on monthly basis which is also weak so there would slight changes with the change of price in crude oil.</t>
  </si>
  <si>
    <t>Food, Clothing and Miscellaneous category also have positive correlation but it is also weak correlation so it would affect them slightly.</t>
  </si>
  <si>
    <t>Pan, tobacco and intoxicants has the lowest negative correlation which is also weak so we can't say that if the prices of crude oil increases, CPI of pan and tobacco would decrease.</t>
  </si>
  <si>
    <t>Crude oil is not directly responsible for the inflation in these categories as the correlation is weak in nature.</t>
  </si>
  <si>
    <t>identify which broad category in the CPI basket contributes the most to overall inflation for the latest month (May 2023).</t>
  </si>
  <si>
    <t>to examine how COVID-19 affected inflation in India, especially in essential services,healthcare and food, by comparing CPI trends before and after March 2020 and explaining the reasons for any major changes.</t>
  </si>
  <si>
    <t xml:space="preserve">FORMULA USED </t>
  </si>
  <si>
    <t>(current_month-previous_month)/previous_month*100</t>
  </si>
  <si>
    <t>CPI</t>
  </si>
  <si>
    <t>HIGHEST CPI</t>
  </si>
  <si>
    <t>LOWEST CPI</t>
  </si>
  <si>
    <t>AVERAGE CPI</t>
  </si>
  <si>
    <t>MONTH(Highest CPI)</t>
  </si>
  <si>
    <t>MONTH(Lowest CPI)</t>
  </si>
  <si>
    <t>Row Labels</t>
  </si>
  <si>
    <t>Grand Total</t>
  </si>
  <si>
    <t>Column Labels</t>
  </si>
  <si>
    <t>Sum of General index</t>
  </si>
  <si>
    <t>Average of General index</t>
  </si>
  <si>
    <t>Category</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</si>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</sst>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4" x14ac:knownFonts="1">
    <font>
      <sz val="10"/>
      <color rgb="FF000000"/>
      <name val="Arial"/>
      <scheme val="minor"/>
    </font>
    <font>
      <sz val="10"/>
      <color theme="1"/>
      <name val="Arial"/>
      <scheme val="minor"/>
    </font>
    <font>
      <b/>
      <sz val="10"/>
      <color theme="1"/>
      <name val="Arial"/>
      <family val="2"/>
      <scheme val="minor"/>
    </font>
    <font>
      <b/>
      <sz val="10"/>
      <color rgb="FF000000"/>
      <name val="Arial"/>
      <family val="2"/>
      <scheme val="minor"/>
    </font>
    <font>
      <sz val="10"/>
      <color rgb="FF000000"/>
      <name val="Arial"/>
      <family val="2"/>
      <scheme val="minor"/>
    </font>
    <font>
      <b/>
      <sz val="12"/>
      <color rgb="FF000000"/>
      <name val="Arial"/>
      <family val="2"/>
      <scheme val="minor"/>
    </font>
    <font>
      <b/>
      <sz val="12"/>
      <color rgb="FF292A31"/>
      <name val="Arial"/>
      <family val="2"/>
      <scheme val="minor"/>
    </font>
    <font>
      <sz val="10"/>
      <color rgb="FF000000"/>
      <name val="Arial"/>
      <scheme val="minor"/>
    </font>
    <font>
      <sz val="10"/>
      <color theme="1"/>
      <name val="Arial"/>
      <family val="2"/>
      <scheme val="minor"/>
    </font>
    <font>
      <b/>
      <sz val="18"/>
      <color rgb="FF000000"/>
      <name val="Arial"/>
      <family val="2"/>
      <scheme val="minor"/>
    </font>
    <font>
      <sz val="16"/>
      <color rgb="FF000000"/>
      <name val="Arial"/>
      <family val="2"/>
      <scheme val="minor"/>
    </font>
    <font>
      <b/>
      <sz val="14"/>
      <color rgb="FF000000"/>
      <name val="Arial"/>
      <family val="2"/>
      <scheme val="minor"/>
    </font>
    <font>
      <b/>
      <sz val="16"/>
      <color rgb="FF000000"/>
      <name val="Arial"/>
      <family val="2"/>
      <scheme val="minor"/>
    </font>
    <font>
      <b/>
      <sz val="28"/>
      <color theme="3"/>
      <name val="Arial"/>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0"/>
        <bgColor indexed="64"/>
      </patternFill>
    </fill>
  </fills>
  <borders count="1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2">
    <xf numFmtId="0" fontId="0" fillId="0" borderId="0"/>
    <xf numFmtId="9" fontId="7" fillId="0" borderId="0" applyFont="0" applyFill="0" applyBorder="0" applyAlignment="0" applyProtection="0"/>
  </cellStyleXfs>
  <cellXfs count="103">
    <xf numFmtId="0" fontId="0" fillId="0" borderId="0" xfId="0"/>
    <xf numFmtId="0" fontId="1" fillId="0" borderId="0" xfId="0" applyFont="1"/>
    <xf numFmtId="0" fontId="2" fillId="2" borderId="0" xfId="0" applyFont="1" applyFill="1" applyAlignment="1">
      <alignment horizontal="left"/>
    </xf>
    <xf numFmtId="0" fontId="3" fillId="2" borderId="0" xfId="0" applyFont="1" applyFill="1" applyAlignment="1">
      <alignment horizontal="left"/>
    </xf>
    <xf numFmtId="0" fontId="3" fillId="0" borderId="2" xfId="0" applyFont="1" applyBorder="1"/>
    <xf numFmtId="0" fontId="3" fillId="2" borderId="1" xfId="0" applyFont="1" applyFill="1" applyBorder="1"/>
    <xf numFmtId="0" fontId="4" fillId="0" borderId="6" xfId="0" applyFont="1" applyBorder="1"/>
    <xf numFmtId="0" fontId="3" fillId="0" borderId="5" xfId="0" applyFont="1" applyBorder="1"/>
    <xf numFmtId="0" fontId="3" fillId="0" borderId="7" xfId="0" applyFont="1" applyBorder="1"/>
    <xf numFmtId="0" fontId="3" fillId="4" borderId="5" xfId="0" applyFont="1" applyFill="1" applyBorder="1" applyAlignment="1">
      <alignment horizontal="center"/>
    </xf>
    <xf numFmtId="0" fontId="3" fillId="4" borderId="6" xfId="0" applyFont="1" applyFill="1" applyBorder="1" applyAlignment="1">
      <alignment horizontal="center"/>
    </xf>
    <xf numFmtId="0" fontId="4" fillId="0" borderId="8" xfId="0" applyFont="1" applyBorder="1"/>
    <xf numFmtId="0" fontId="2" fillId="4" borderId="0" xfId="0" applyFont="1" applyFill="1" applyAlignment="1">
      <alignment horizontal="left"/>
    </xf>
    <xf numFmtId="0" fontId="1" fillId="5" borderId="0" xfId="0" applyFont="1" applyFill="1"/>
    <xf numFmtId="0" fontId="1" fillId="6" borderId="0" xfId="0" applyFont="1" applyFill="1"/>
    <xf numFmtId="0" fontId="1" fillId="0" borderId="9" xfId="0" applyFont="1" applyBorder="1"/>
    <xf numFmtId="0" fontId="1" fillId="6" borderId="9" xfId="0" applyFont="1" applyFill="1" applyBorder="1"/>
    <xf numFmtId="0" fontId="3" fillId="7" borderId="9" xfId="0" applyFont="1" applyFill="1" applyBorder="1"/>
    <xf numFmtId="0" fontId="1" fillId="8" borderId="9" xfId="0" applyFont="1" applyFill="1" applyBorder="1"/>
    <xf numFmtId="0" fontId="3" fillId="0" borderId="0" xfId="0" applyFont="1"/>
    <xf numFmtId="0" fontId="3" fillId="0" borderId="13" xfId="0" applyFont="1" applyBorder="1"/>
    <xf numFmtId="0" fontId="0" fillId="0" borderId="14" xfId="0" applyBorder="1"/>
    <xf numFmtId="0" fontId="4" fillId="0" borderId="13" xfId="0" applyFont="1" applyBorder="1"/>
    <xf numFmtId="0" fontId="0" fillId="0" borderId="13" xfId="0" applyBorder="1"/>
    <xf numFmtId="0" fontId="4" fillId="0" borderId="15" xfId="0" applyFont="1" applyBorder="1"/>
    <xf numFmtId="0" fontId="0" fillId="0" borderId="16" xfId="0" applyBorder="1"/>
    <xf numFmtId="0" fontId="0" fillId="0" borderId="17" xfId="0" applyBorder="1"/>
    <xf numFmtId="0" fontId="1" fillId="9" borderId="0" xfId="0" applyFont="1" applyFill="1"/>
    <xf numFmtId="0" fontId="2" fillId="9" borderId="0" xfId="0" applyFont="1" applyFill="1" applyAlignment="1">
      <alignment horizontal="left"/>
    </xf>
    <xf numFmtId="0" fontId="3" fillId="7" borderId="0" xfId="0" applyFont="1" applyFill="1"/>
    <xf numFmtId="1" fontId="0" fillId="0" borderId="0" xfId="0" applyNumberFormat="1"/>
    <xf numFmtId="1" fontId="3" fillId="7" borderId="0" xfId="0" applyNumberFormat="1" applyFont="1" applyFill="1"/>
    <xf numFmtId="0" fontId="6" fillId="0" borderId="0" xfId="0" applyFont="1"/>
    <xf numFmtId="0" fontId="5" fillId="7" borderId="0" xfId="0" applyFont="1" applyFill="1" applyAlignment="1">
      <alignment horizontal="center"/>
    </xf>
    <xf numFmtId="0" fontId="0" fillId="5" borderId="0" xfId="0" applyFill="1"/>
    <xf numFmtId="164" fontId="0" fillId="0" borderId="0" xfId="0" applyNumberFormat="1"/>
    <xf numFmtId="10" fontId="0" fillId="0" borderId="0" xfId="1" applyNumberFormat="1" applyFont="1"/>
    <xf numFmtId="0" fontId="0" fillId="7" borderId="0" xfId="0" applyFill="1"/>
    <xf numFmtId="0" fontId="5" fillId="0" borderId="0" xfId="0" applyFont="1"/>
    <xf numFmtId="0" fontId="0" fillId="9" borderId="0" xfId="0" applyFill="1"/>
    <xf numFmtId="165" fontId="0" fillId="0" borderId="0" xfId="1" applyNumberFormat="1" applyFont="1"/>
    <xf numFmtId="0" fontId="0" fillId="0" borderId="0" xfId="0" applyAlignment="1">
      <alignment wrapText="1"/>
    </xf>
    <xf numFmtId="0" fontId="1" fillId="7" borderId="0" xfId="0" applyFont="1" applyFill="1"/>
    <xf numFmtId="0" fontId="3" fillId="2" borderId="0" xfId="0" applyFont="1" applyFill="1"/>
    <xf numFmtId="0" fontId="8" fillId="0" borderId="0" xfId="0" applyFont="1"/>
    <xf numFmtId="2" fontId="0" fillId="0" borderId="0" xfId="0" applyNumberFormat="1"/>
    <xf numFmtId="0" fontId="3" fillId="2" borderId="10" xfId="0" applyFont="1" applyFill="1" applyBorder="1"/>
    <xf numFmtId="0" fontId="2" fillId="2" borderId="10" xfId="0" applyFont="1" applyFill="1" applyBorder="1" applyAlignment="1">
      <alignment horizontal="left"/>
    </xf>
    <xf numFmtId="0" fontId="2" fillId="2" borderId="11" xfId="0" applyFont="1" applyFill="1" applyBorder="1" applyAlignment="1">
      <alignment horizontal="left"/>
    </xf>
    <xf numFmtId="0" fontId="3" fillId="2" borderId="11" xfId="0" applyFont="1" applyFill="1" applyBorder="1"/>
    <xf numFmtId="0" fontId="3" fillId="2" borderId="12" xfId="0" applyFont="1" applyFill="1" applyBorder="1"/>
    <xf numFmtId="0" fontId="1" fillId="0" borderId="13" xfId="0" applyFont="1" applyBorder="1"/>
    <xf numFmtId="2" fontId="0" fillId="0" borderId="14" xfId="0" applyNumberFormat="1" applyBorder="1"/>
    <xf numFmtId="0" fontId="1" fillId="0" borderId="15" xfId="0" applyFont="1" applyBorder="1"/>
    <xf numFmtId="0" fontId="1" fillId="0" borderId="16" xfId="0" applyFont="1" applyBorder="1"/>
    <xf numFmtId="2" fontId="0" fillId="0" borderId="16" xfId="0" applyNumberFormat="1" applyBorder="1"/>
    <xf numFmtId="2" fontId="0" fillId="0" borderId="17" xfId="0" applyNumberFormat="1" applyBorder="1"/>
    <xf numFmtId="0" fontId="2" fillId="2" borderId="12" xfId="0" applyFont="1" applyFill="1" applyBorder="1" applyAlignment="1">
      <alignment horizontal="left"/>
    </xf>
    <xf numFmtId="0" fontId="3" fillId="9" borderId="0" xfId="0" applyFont="1" applyFill="1"/>
    <xf numFmtId="165" fontId="0" fillId="0" borderId="0" xfId="0" applyNumberFormat="1"/>
    <xf numFmtId="0" fontId="4" fillId="9" borderId="13" xfId="0" applyFont="1" applyFill="1" applyBorder="1"/>
    <xf numFmtId="0" fontId="4" fillId="9" borderId="0" xfId="0" applyFont="1" applyFill="1"/>
    <xf numFmtId="0" fontId="2" fillId="9" borderId="14" xfId="0" applyFont="1" applyFill="1" applyBorder="1" applyAlignment="1">
      <alignment horizontal="left"/>
    </xf>
    <xf numFmtId="2" fontId="2" fillId="0" borderId="0" xfId="0" applyNumberFormat="1" applyFont="1"/>
    <xf numFmtId="2" fontId="2" fillId="0" borderId="14" xfId="0" applyNumberFormat="1" applyFont="1" applyBorder="1"/>
    <xf numFmtId="0" fontId="0" fillId="0" borderId="15" xfId="0" applyBorder="1"/>
    <xf numFmtId="2" fontId="2" fillId="0" borderId="16" xfId="0" applyNumberFormat="1" applyFont="1" applyBorder="1"/>
    <xf numFmtId="2" fontId="2" fillId="0" borderId="17" xfId="0" applyNumberFormat="1" applyFont="1" applyBorder="1"/>
    <xf numFmtId="0" fontId="2" fillId="2" borderId="0" xfId="0" applyFont="1" applyFill="1" applyAlignment="1">
      <alignment horizontal="left" wrapText="1"/>
    </xf>
    <xf numFmtId="0" fontId="3" fillId="0" borderId="18" xfId="0" applyFont="1" applyBorder="1"/>
    <xf numFmtId="0" fontId="3" fillId="2" borderId="18" xfId="0" applyFont="1" applyFill="1" applyBorder="1"/>
    <xf numFmtId="0" fontId="2" fillId="2" borderId="18" xfId="0" applyFont="1" applyFill="1" applyBorder="1" applyAlignment="1">
      <alignment horizontal="left" wrapText="1"/>
    </xf>
    <xf numFmtId="0" fontId="2" fillId="2" borderId="18" xfId="0" applyFont="1" applyFill="1" applyBorder="1" applyAlignment="1">
      <alignment horizontal="left"/>
    </xf>
    <xf numFmtId="0" fontId="2" fillId="2" borderId="2" xfId="0" applyFont="1" applyFill="1" applyBorder="1" applyAlignment="1">
      <alignment horizontal="left"/>
    </xf>
    <xf numFmtId="165" fontId="0" fillId="0" borderId="14" xfId="0" applyNumberFormat="1" applyBorder="1"/>
    <xf numFmtId="165" fontId="0" fillId="0" borderId="16" xfId="0" applyNumberFormat="1" applyBorder="1"/>
    <xf numFmtId="165" fontId="0" fillId="0" borderId="17" xfId="0" applyNumberFormat="1" applyBorder="1"/>
    <xf numFmtId="0" fontId="5" fillId="8" borderId="0" xfId="0" applyFont="1" applyFill="1"/>
    <xf numFmtId="0" fontId="3" fillId="7" borderId="1" xfId="0" applyFont="1" applyFill="1" applyBorder="1"/>
    <xf numFmtId="0" fontId="3" fillId="7" borderId="2" xfId="0" applyFont="1" applyFill="1" applyBorder="1"/>
    <xf numFmtId="0" fontId="3" fillId="3" borderId="3" xfId="0" applyFont="1" applyFill="1" applyBorder="1" applyAlignment="1">
      <alignment horizontal="center"/>
    </xf>
    <xf numFmtId="0" fontId="3" fillId="3" borderId="4" xfId="0" applyFont="1" applyFill="1" applyBorder="1" applyAlignment="1">
      <alignment horizontal="center"/>
    </xf>
    <xf numFmtId="0" fontId="3" fillId="7" borderId="10" xfId="0" applyFont="1" applyFill="1" applyBorder="1" applyAlignment="1">
      <alignment horizontal="center"/>
    </xf>
    <xf numFmtId="0" fontId="3" fillId="7" borderId="11" xfId="0" applyFont="1" applyFill="1" applyBorder="1" applyAlignment="1">
      <alignment horizontal="center"/>
    </xf>
    <xf numFmtId="0" fontId="3" fillId="7" borderId="12" xfId="0" applyFont="1" applyFill="1" applyBorder="1" applyAlignment="1">
      <alignment horizontal="center"/>
    </xf>
    <xf numFmtId="0" fontId="3" fillId="7" borderId="0" xfId="0" applyFont="1" applyFill="1" applyAlignment="1">
      <alignment horizontal="center"/>
    </xf>
    <xf numFmtId="0" fontId="4" fillId="7" borderId="0" xfId="0" applyFont="1" applyFill="1" applyAlignment="1">
      <alignment horizontal="center"/>
    </xf>
    <xf numFmtId="0" fontId="5" fillId="7" borderId="0" xfId="0" applyFont="1" applyFill="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xf numFmtId="0" fontId="3" fillId="0" borderId="17" xfId="0" applyFont="1" applyBorder="1" applyAlignment="1">
      <alignment horizontal="center"/>
    </xf>
    <xf numFmtId="49" fontId="9" fillId="0" borderId="0" xfId="0" applyNumberFormat="1" applyFont="1" applyAlignment="1">
      <alignment horizontal="center" textRotation="255"/>
    </xf>
    <xf numFmtId="0" fontId="3" fillId="9" borderId="0" xfId="0" applyFont="1" applyFill="1" applyAlignment="1">
      <alignment horizontal="center"/>
    </xf>
    <xf numFmtId="0" fontId="3" fillId="7" borderId="1" xfId="0" applyFont="1" applyFill="1" applyBorder="1" applyAlignment="1">
      <alignment horizontal="center"/>
    </xf>
    <xf numFmtId="0" fontId="3" fillId="7" borderId="18" xfId="0" applyFont="1" applyFill="1" applyBorder="1" applyAlignment="1">
      <alignment horizontal="center"/>
    </xf>
    <xf numFmtId="0" fontId="2" fillId="7" borderId="0" xfId="0" applyFont="1" applyFill="1" applyAlignment="1">
      <alignment horizontal="center"/>
    </xf>
    <xf numFmtId="0" fontId="10" fillId="2" borderId="0" xfId="0" applyFont="1" applyFill="1" applyAlignment="1">
      <alignment horizontal="center"/>
    </xf>
    <xf numFmtId="0" fontId="11" fillId="2" borderId="0" xfId="0" applyFont="1" applyFill="1" applyAlignment="1">
      <alignment horizontal="center"/>
    </xf>
    <xf numFmtId="0" fontId="12" fillId="2" borderId="0" xfId="0" applyFont="1" applyFill="1" applyAlignment="1">
      <alignment horizontal="center"/>
    </xf>
    <xf numFmtId="0" fontId="13"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Percent" xfId="1" builtinId="5"/>
  </cellStyles>
  <dxfs count="2">
    <dxf>
      <numFmt numFmtId="0" formatCode="Genera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Contribution by each category in May</a:t>
            </a:r>
            <a:r>
              <a:rPr lang="en-US" baseline="0"/>
              <a:t> 2023</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manualLayout>
          <c:layoutTarget val="inner"/>
          <c:xMode val="edge"/>
          <c:yMode val="edge"/>
          <c:x val="0.33685439697623859"/>
          <c:y val="0.14054132838141303"/>
          <c:w val="0.29185633337295003"/>
          <c:h val="0.74707689151839696"/>
        </c:manualLayout>
      </c:layout>
      <c:pieChart>
        <c:varyColors val="1"/>
        <c:ser>
          <c:idx val="1"/>
          <c:order val="0"/>
          <c:tx>
            <c:strRef>
              <c:f>'EDA 1'!$D$11</c:f>
              <c:strCache>
                <c:ptCount val="1"/>
                <c:pt idx="0">
                  <c:v>% of contribution</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1FC6-4548-B2C6-880AC64776A9}"/>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FC6-4548-B2C6-880AC64776A9}"/>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FC6-4548-B2C6-880AC64776A9}"/>
              </c:ext>
            </c:extLst>
          </c:dPt>
          <c:dPt>
            <c:idx val="3"/>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134-4D14-AEA2-FA08BD92773B}"/>
              </c:ext>
            </c:extLst>
          </c:dPt>
          <c:dPt>
            <c:idx val="4"/>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1FC6-4548-B2C6-880AC64776A9}"/>
              </c:ext>
            </c:extLst>
          </c:dPt>
          <c:dLbls>
            <c:dLbl>
              <c:idx val="0"/>
              <c:layout>
                <c:manualLayout>
                  <c:x val="-0.11871814184677529"/>
                  <c:y val="1.368718452946223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FC6-4548-B2C6-880AC64776A9}"/>
                </c:ext>
              </c:extLst>
            </c:dLbl>
            <c:dLbl>
              <c:idx val="1"/>
              <c:layout>
                <c:manualLayout>
                  <c:x val="-1.280925679430832E-2"/>
                  <c:y val="-9.7453105008748445E-2"/>
                </c:manualLayout>
              </c:layout>
              <c:tx>
                <c:rich>
                  <a:bodyPr/>
                  <a:lstStyle/>
                  <a:p>
                    <a:fld id="{E807EB4B-D9B7-4953-89AD-8740E8282F3D}" type="PERCENTAGE">
                      <a:rPr lang="en-US" sz="800"/>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FC6-4548-B2C6-880AC64776A9}"/>
                </c:ext>
              </c:extLst>
            </c:dLbl>
            <c:dLbl>
              <c:idx val="2"/>
              <c:layout>
                <c:manualLayout>
                  <c:x val="4.7818394380816608E-2"/>
                  <c:y val="-0.1117193201562199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FC6-4548-B2C6-880AC64776A9}"/>
                </c:ext>
              </c:extLst>
            </c:dLbl>
            <c:dLbl>
              <c:idx val="4"/>
              <c:layout>
                <c:manualLayout>
                  <c:x val="7.4999348800578222E-2"/>
                  <c:y val="9.477399102865156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FC6-4548-B2C6-880AC64776A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'EDA 1'!$B$12:$B$17</c15:sqref>
                  </c15:fullRef>
                </c:ext>
              </c:extLst>
              <c:f>'EDA 1'!$B$12:$B$16</c:f>
              <c:strCache>
                <c:ptCount val="5"/>
                <c:pt idx="0">
                  <c:v>Food and beverages</c:v>
                </c:pt>
                <c:pt idx="1">
                  <c:v>Pan, tobacco and intoxicants</c:v>
                </c:pt>
                <c:pt idx="2">
                  <c:v>Clothing and footwear </c:v>
                </c:pt>
                <c:pt idx="3">
                  <c:v>Housing</c:v>
                </c:pt>
                <c:pt idx="4">
                  <c:v>Miscellaneous</c:v>
                </c:pt>
              </c:strCache>
            </c:strRef>
          </c:cat>
          <c:val>
            <c:numRef>
              <c:extLst>
                <c:ext xmlns:c15="http://schemas.microsoft.com/office/drawing/2012/chart" uri="{02D57815-91ED-43cb-92C2-25804820EDAC}">
                  <c15:fullRef>
                    <c15:sqref>'EDA 1'!$D$12:$D$17</c15:sqref>
                  </c15:fullRef>
                </c:ext>
              </c:extLst>
              <c:f>'EDA 1'!$D$12:$D$16</c:f>
              <c:numCache>
                <c:formatCode>0</c:formatCode>
                <c:ptCount val="5"/>
                <c:pt idx="0">
                  <c:v>45.979829386909024</c:v>
                </c:pt>
                <c:pt idx="1">
                  <c:v>4.0062186079885187</c:v>
                </c:pt>
                <c:pt idx="2">
                  <c:v>11.026070318105715</c:v>
                </c:pt>
                <c:pt idx="3">
                  <c:v>10.63541417523718</c:v>
                </c:pt>
                <c:pt idx="4">
                  <c:v>28.352467511759542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1-1FC6-4548-B2C6-880AC64776A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TREND OF CPI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'EDA 2'!$J$5</c:f>
              <c:strCache>
                <c:ptCount val="1"/>
                <c:pt idx="0">
                  <c:v>Inflation</c:v>
                </c:pt>
              </c:strCache>
            </c:strRef>
          </c:tx>
          <c:spPr>
            <a:ln w="28575" cap="rnd">
              <a:solidFill>
                <a:schemeClr val="accent1"/>
              </a:solidFill>
              <a:round/>
            </a:ln>
            <a:effectLst/>
          </c:spPr>
          <c:marker>
            <c:symbol val="none"/>
          </c:marker>
          <c:cat>
            <c:numRef>
              <c:f>'EDA 2'!$G$6:$G$11</c:f>
              <c:numCache>
                <c:formatCode>General</c:formatCode>
                <c:ptCount val="6"/>
                <c:pt idx="0">
                  <c:v>2017</c:v>
                </c:pt>
                <c:pt idx="1">
                  <c:v>2018</c:v>
                </c:pt>
                <c:pt idx="2">
                  <c:v>2019</c:v>
                </c:pt>
                <c:pt idx="3">
                  <c:v>2020</c:v>
                </c:pt>
                <c:pt idx="4">
                  <c:v>2021</c:v>
                </c:pt>
                <c:pt idx="5">
                  <c:v>2022</c:v>
                </c:pt>
              </c:numCache>
            </c:numRef>
          </c:cat>
          <c:val>
            <c:numRef>
              <c:f>'EDA 2'!$J$6:$J$11</c:f>
              <c:numCache>
                <c:formatCode>0.00%</c:formatCode>
                <c:ptCount val="6"/>
                <c:pt idx="0">
                  <c:v>5.295471987720627E-2</c:v>
                </c:pt>
                <c:pt idx="1">
                  <c:v>2.3374726077428697E-2</c:v>
                </c:pt>
                <c:pt idx="2">
                  <c:v>7.7363896848137617E-2</c:v>
                </c:pt>
                <c:pt idx="3">
                  <c:v>5.7922769640479481E-2</c:v>
                </c:pt>
                <c:pt idx="4">
                  <c:v>5.657978385251098E-2</c:v>
                </c:pt>
                <c:pt idx="5">
                  <c:v>6.0350030175015092E-2</c:v>
                </c:pt>
              </c:numCache>
            </c:numRef>
          </c:val>
          <c:smooth val="0"/>
          <c:extLst>
            <c:ext xmlns:c16="http://schemas.microsoft.com/office/drawing/2014/chart" uri="{C3380CC4-5D6E-409C-BE32-E72D297353CC}">
              <c16:uniqueId val="{00000000-EDB8-4786-8060-76B48C13694F}"/>
            </c:ext>
          </c:extLst>
        </c:ser>
        <c:dLbls>
          <c:showLegendKey val="0"/>
          <c:showVal val="0"/>
          <c:showCatName val="0"/>
          <c:showSerName val="0"/>
          <c:showPercent val="0"/>
          <c:showBubbleSize val="0"/>
        </c:dLbls>
        <c:smooth val="0"/>
        <c:axId val="757465312"/>
        <c:axId val="757468672"/>
      </c:lineChart>
      <c:catAx>
        <c:axId val="75746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68672"/>
        <c:crosses val="autoZero"/>
        <c:auto val="1"/>
        <c:lblAlgn val="ctr"/>
        <c:lblOffset val="100"/>
        <c:noMultiLvlLbl val="0"/>
      </c:catAx>
      <c:valAx>
        <c:axId val="7574686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65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'EDA 3'!$D$4</c:f>
              <c:strCache>
                <c:ptCount val="1"/>
                <c:pt idx="0">
                  <c:v>M-O-M Inflation</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'EDA 3'!$B$5:$B$17</c15:sqref>
                  </c15:fullRef>
                </c:ext>
              </c:extLst>
              <c:f>'EDA 3'!$B$6:$B$17</c:f>
              <c:strCache>
                <c:ptCount val="12"/>
                <c:pt idx="0">
                  <c:v>June 2022</c:v>
                </c:pt>
                <c:pt idx="1">
                  <c:v>July 2022</c:v>
                </c:pt>
                <c:pt idx="2">
                  <c:v>August 2022</c:v>
                </c:pt>
                <c:pt idx="3">
                  <c:v>September 2022</c:v>
                </c:pt>
                <c:pt idx="4">
                  <c:v>October 2022</c:v>
                </c:pt>
                <c:pt idx="5">
                  <c:v>November 2022</c:v>
                </c:pt>
                <c:pt idx="6">
                  <c:v>December 2022</c:v>
                </c:pt>
                <c:pt idx="7">
                  <c:v>January 2023</c:v>
                </c:pt>
                <c:pt idx="8">
                  <c:v>February 2023</c:v>
                </c:pt>
                <c:pt idx="9">
                  <c:v>March 2023</c:v>
                </c:pt>
                <c:pt idx="10">
                  <c:v>April 2023</c:v>
                </c:pt>
                <c:pt idx="11">
                  <c:v>May 2023</c:v>
                </c:pt>
              </c:strCache>
            </c:strRef>
          </c:cat>
          <c:val>
            <c:numRef>
              <c:extLst>
                <c:ext xmlns:c15="http://schemas.microsoft.com/office/drawing/2012/chart" uri="{02D57815-91ED-43cb-92C2-25804820EDAC}">
                  <c15:fullRef>
                    <c15:sqref>'EDA 3'!$D$5:$D$17</c15:sqref>
                  </c15:fullRef>
                </c:ext>
              </c:extLst>
              <c:f>'EDA 3'!$D$6:$D$17</c:f>
              <c:numCache>
                <c:formatCode>0.000</c:formatCode>
                <c:ptCount val="12"/>
                <c:pt idx="0">
                  <c:v>1.0272901871454525</c:v>
                </c:pt>
                <c:pt idx="1">
                  <c:v>0.19452672531942572</c:v>
                </c:pt>
                <c:pt idx="2">
                  <c:v>0.12796187618585758</c:v>
                </c:pt>
                <c:pt idx="3">
                  <c:v>0.51560021152828384</c:v>
                </c:pt>
                <c:pt idx="4">
                  <c:v>0.7190144241308295</c:v>
                </c:pt>
                <c:pt idx="5">
                  <c:v>-2.1764680276846731E-2</c:v>
                </c:pt>
                <c:pt idx="6">
                  <c:v>-0.58342041100662179</c:v>
                </c:pt>
                <c:pt idx="7">
                  <c:v>0.40728737847068963</c:v>
                </c:pt>
                <c:pt idx="8">
                  <c:v>-0.59318707201116194</c:v>
                </c:pt>
                <c:pt idx="9">
                  <c:v>4.3876968978943031E-3</c:v>
                </c:pt>
                <c:pt idx="10">
                  <c:v>0.45630045630048033</c:v>
                </c:pt>
                <c:pt idx="11">
                  <c:v>0.75559049615652185</c:v>
                </c:pt>
              </c:numCache>
            </c:numRef>
          </c:val>
          <c:smooth val="0"/>
          <c:extLst>
            <c:ext xmlns:c16="http://schemas.microsoft.com/office/drawing/2014/chart" uri="{C3380CC4-5D6E-409C-BE32-E72D297353CC}">
              <c16:uniqueId val="{00000000-D22B-47AB-ACDD-92D58BC89AE4}"/>
            </c:ext>
          </c:extLst>
        </c:ser>
        <c:dLbls>
          <c:showLegendKey val="0"/>
          <c:showVal val="0"/>
          <c:showCatName val="0"/>
          <c:showSerName val="0"/>
          <c:showPercent val="0"/>
          <c:showBubbleSize val="0"/>
        </c:dLbls>
        <c:smooth val="0"/>
        <c:axId val="972876720"/>
        <c:axId val="972875280"/>
      </c:lineChart>
      <c:catAx>
        <c:axId val="97287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75280"/>
        <c:crosses val="autoZero"/>
        <c:auto val="1"/>
        <c:lblAlgn val="ctr"/>
        <c:lblOffset val="1000"/>
        <c:noMultiLvlLbl val="0"/>
      </c:catAx>
      <c:valAx>
        <c:axId val="97287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76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24 Months after March 2020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 4'!$J$5</c:f>
              <c:strCache>
                <c:ptCount val="1"/>
                <c:pt idx="0">
                  <c:v>INFLATION(FOOD)</c:v>
                </c:pt>
              </c:strCache>
            </c:strRef>
          </c:tx>
          <c:spPr>
            <a:solidFill>
              <a:schemeClr val="accent1"/>
            </a:solidFill>
            <a:ln>
              <a:noFill/>
            </a:ln>
            <a:effectLst/>
          </c:spPr>
          <c:invertIfNegative val="0"/>
          <c:cat>
            <c:strRef>
              <c:f>'EDA 4'!$I$6:$I$28</c:f>
              <c:strCache>
                <c:ptCount val="23"/>
                <c:pt idx="0">
                  <c:v>April</c:v>
                </c:pt>
                <c:pt idx="1">
                  <c:v>May</c:v>
                </c:pt>
                <c:pt idx="2">
                  <c:v>June</c:v>
                </c:pt>
                <c:pt idx="3">
                  <c:v>July</c:v>
                </c:pt>
                <c:pt idx="4">
                  <c:v>August</c:v>
                </c:pt>
                <c:pt idx="5">
                  <c:v>September</c:v>
                </c:pt>
                <c:pt idx="6">
                  <c:v>October</c:v>
                </c:pt>
                <c:pt idx="7">
                  <c:v>November</c:v>
                </c:pt>
                <c:pt idx="8">
                  <c:v>December</c:v>
                </c:pt>
                <c:pt idx="9">
                  <c:v>March</c:v>
                </c:pt>
                <c:pt idx="10">
                  <c:v>April</c:v>
                </c:pt>
                <c:pt idx="11">
                  <c:v>May</c:v>
                </c:pt>
                <c:pt idx="12">
                  <c:v>June</c:v>
                </c:pt>
                <c:pt idx="13">
                  <c:v>July</c:v>
                </c:pt>
                <c:pt idx="14">
                  <c:v>August</c:v>
                </c:pt>
                <c:pt idx="15">
                  <c:v>September</c:v>
                </c:pt>
                <c:pt idx="16">
                  <c:v>October</c:v>
                </c:pt>
                <c:pt idx="17">
                  <c:v>November</c:v>
                </c:pt>
                <c:pt idx="18">
                  <c:v>December</c:v>
                </c:pt>
                <c:pt idx="19">
                  <c:v>January</c:v>
                </c:pt>
                <c:pt idx="20">
                  <c:v>February</c:v>
                </c:pt>
                <c:pt idx="21">
                  <c:v>March</c:v>
                </c:pt>
                <c:pt idx="22">
                  <c:v>April</c:v>
                </c:pt>
              </c:strCache>
            </c:strRef>
          </c:cat>
          <c:val>
            <c:numRef>
              <c:f>'EDA 4'!$J$6:$J$28</c:f>
              <c:numCache>
                <c:formatCode>0.00</c:formatCode>
                <c:ptCount val="23"/>
                <c:pt idx="0">
                  <c:v>3.495304421230347</c:v>
                </c:pt>
                <c:pt idx="1">
                  <c:v>15.495883567404961</c:v>
                </c:pt>
                <c:pt idx="2">
                  <c:v>-13.189517241379283</c:v>
                </c:pt>
                <c:pt idx="3">
                  <c:v>0</c:v>
                </c:pt>
                <c:pt idx="4">
                  <c:v>1.4439699003457207</c:v>
                </c:pt>
                <c:pt idx="5">
                  <c:v>0.59141940657579106</c:v>
                </c:pt>
                <c:pt idx="6">
                  <c:v>2.0727453911310598</c:v>
                </c:pt>
                <c:pt idx="7">
                  <c:v>2.2942497315239447</c:v>
                </c:pt>
                <c:pt idx="8">
                  <c:v>0.64420690971559469</c:v>
                </c:pt>
                <c:pt idx="9">
                  <c:v>-3.3047271347968352</c:v>
                </c:pt>
                <c:pt idx="10">
                  <c:v>1.2111405315288835</c:v>
                </c:pt>
                <c:pt idx="11">
                  <c:v>2.0154062303183164</c:v>
                </c:pt>
                <c:pt idx="12">
                  <c:v>1.3392221114118732</c:v>
                </c:pt>
                <c:pt idx="13">
                  <c:v>0.61389943296311489</c:v>
                </c:pt>
                <c:pt idx="14">
                  <c:v>-0.2328830926874709</c:v>
                </c:pt>
                <c:pt idx="15">
                  <c:v>0</c:v>
                </c:pt>
                <c:pt idx="16">
                  <c:v>1.5639589169000934</c:v>
                </c:pt>
                <c:pt idx="17">
                  <c:v>0.85497586761663569</c:v>
                </c:pt>
                <c:pt idx="18">
                  <c:v>-0.60161341780227973</c:v>
                </c:pt>
                <c:pt idx="19">
                  <c:v>-0.76573891512679504</c:v>
                </c:pt>
                <c:pt idx="20">
                  <c:v>-0.13861935126141509</c:v>
                </c:pt>
                <c:pt idx="21">
                  <c:v>1.0642235794928743</c:v>
                </c:pt>
                <c:pt idx="22">
                  <c:v>4.3494185514146837</c:v>
                </c:pt>
              </c:numCache>
            </c:numRef>
          </c:val>
          <c:extLst>
            <c:ext xmlns:c16="http://schemas.microsoft.com/office/drawing/2014/chart" uri="{C3380CC4-5D6E-409C-BE32-E72D297353CC}">
              <c16:uniqueId val="{00000000-81F6-4B9F-9381-A87F58531295}"/>
            </c:ext>
          </c:extLst>
        </c:ser>
        <c:ser>
          <c:idx val="1"/>
          <c:order val="1"/>
          <c:tx>
            <c:strRef>
              <c:f>'EDA 4'!$K$5</c:f>
              <c:strCache>
                <c:ptCount val="1"/>
                <c:pt idx="0">
                  <c:v>INFLATION(ESSENTIAL)</c:v>
                </c:pt>
              </c:strCache>
            </c:strRef>
          </c:tx>
          <c:spPr>
            <a:solidFill>
              <a:schemeClr val="accent2"/>
            </a:solidFill>
            <a:ln>
              <a:noFill/>
            </a:ln>
            <a:effectLst/>
          </c:spPr>
          <c:invertIfNegative val="0"/>
          <c:cat>
            <c:strRef>
              <c:f>'EDA 4'!$I$6:$I$28</c:f>
              <c:strCache>
                <c:ptCount val="23"/>
                <c:pt idx="0">
                  <c:v>April</c:v>
                </c:pt>
                <c:pt idx="1">
                  <c:v>May</c:v>
                </c:pt>
                <c:pt idx="2">
                  <c:v>June</c:v>
                </c:pt>
                <c:pt idx="3">
                  <c:v>July</c:v>
                </c:pt>
                <c:pt idx="4">
                  <c:v>August</c:v>
                </c:pt>
                <c:pt idx="5">
                  <c:v>September</c:v>
                </c:pt>
                <c:pt idx="6">
                  <c:v>October</c:v>
                </c:pt>
                <c:pt idx="7">
                  <c:v>November</c:v>
                </c:pt>
                <c:pt idx="8">
                  <c:v>December</c:v>
                </c:pt>
                <c:pt idx="9">
                  <c:v>March</c:v>
                </c:pt>
                <c:pt idx="10">
                  <c:v>April</c:v>
                </c:pt>
                <c:pt idx="11">
                  <c:v>May</c:v>
                </c:pt>
                <c:pt idx="12">
                  <c:v>June</c:v>
                </c:pt>
                <c:pt idx="13">
                  <c:v>July</c:v>
                </c:pt>
                <c:pt idx="14">
                  <c:v>August</c:v>
                </c:pt>
                <c:pt idx="15">
                  <c:v>September</c:v>
                </c:pt>
                <c:pt idx="16">
                  <c:v>October</c:v>
                </c:pt>
                <c:pt idx="17">
                  <c:v>November</c:v>
                </c:pt>
                <c:pt idx="18">
                  <c:v>December</c:v>
                </c:pt>
                <c:pt idx="19">
                  <c:v>January</c:v>
                </c:pt>
                <c:pt idx="20">
                  <c:v>February</c:v>
                </c:pt>
                <c:pt idx="21">
                  <c:v>March</c:v>
                </c:pt>
                <c:pt idx="22">
                  <c:v>April</c:v>
                </c:pt>
              </c:strCache>
            </c:strRef>
          </c:cat>
          <c:val>
            <c:numRef>
              <c:f>'EDA 4'!$K$6:$K$28</c:f>
              <c:numCache>
                <c:formatCode>0.00</c:formatCode>
                <c:ptCount val="23"/>
                <c:pt idx="0">
                  <c:v>-0.95415537488707447</c:v>
                </c:pt>
                <c:pt idx="1">
                  <c:v>0.49307416063385023</c:v>
                </c:pt>
                <c:pt idx="2">
                  <c:v>0.49065486826059113</c:v>
                </c:pt>
                <c:pt idx="3">
                  <c:v>0</c:v>
                </c:pt>
                <c:pt idx="4">
                  <c:v>1.1063445473018818</c:v>
                </c:pt>
                <c:pt idx="5">
                  <c:v>0.15631978561858989</c:v>
                </c:pt>
                <c:pt idx="6">
                  <c:v>0.30100334448158506</c:v>
                </c:pt>
                <c:pt idx="7">
                  <c:v>0.32232966544403441</c:v>
                </c:pt>
                <c:pt idx="8">
                  <c:v>0.42100598271660411</c:v>
                </c:pt>
                <c:pt idx="9">
                  <c:v>2.5375110326566763</c:v>
                </c:pt>
                <c:pt idx="10">
                  <c:v>0.38734667527438521</c:v>
                </c:pt>
                <c:pt idx="11">
                  <c:v>1.4147909967845218</c:v>
                </c:pt>
                <c:pt idx="12">
                  <c:v>0.21137180300150366</c:v>
                </c:pt>
                <c:pt idx="13">
                  <c:v>0.79097236869858678</c:v>
                </c:pt>
                <c:pt idx="14">
                  <c:v>0.78476509364863445</c:v>
                </c:pt>
                <c:pt idx="15">
                  <c:v>0</c:v>
                </c:pt>
                <c:pt idx="16">
                  <c:v>0.71636212624584472</c:v>
                </c:pt>
                <c:pt idx="17">
                  <c:v>0.22678074425316275</c:v>
                </c:pt>
                <c:pt idx="18">
                  <c:v>0.25712228735988008</c:v>
                </c:pt>
                <c:pt idx="19">
                  <c:v>0.48215018465325521</c:v>
                </c:pt>
                <c:pt idx="20">
                  <c:v>0.55130168453292272</c:v>
                </c:pt>
                <c:pt idx="21">
                  <c:v>0.54827901309777416</c:v>
                </c:pt>
                <c:pt idx="22">
                  <c:v>6.4222962738564222</c:v>
                </c:pt>
              </c:numCache>
            </c:numRef>
          </c:val>
          <c:extLst>
            <c:ext xmlns:c16="http://schemas.microsoft.com/office/drawing/2014/chart" uri="{C3380CC4-5D6E-409C-BE32-E72D297353CC}">
              <c16:uniqueId val="{00000001-81F6-4B9F-9381-A87F58531295}"/>
            </c:ext>
          </c:extLst>
        </c:ser>
        <c:ser>
          <c:idx val="2"/>
          <c:order val="2"/>
          <c:tx>
            <c:strRef>
              <c:f>'EDA 4'!$L$5</c:f>
              <c:strCache>
                <c:ptCount val="1"/>
                <c:pt idx="0">
                  <c:v>INFLATION(HEALTH)</c:v>
                </c:pt>
              </c:strCache>
            </c:strRef>
          </c:tx>
          <c:spPr>
            <a:solidFill>
              <a:schemeClr val="accent3"/>
            </a:solidFill>
            <a:ln>
              <a:noFill/>
            </a:ln>
            <a:effectLst/>
          </c:spPr>
          <c:invertIfNegative val="0"/>
          <c:cat>
            <c:strRef>
              <c:f>'EDA 4'!$I$6:$I$28</c:f>
              <c:strCache>
                <c:ptCount val="23"/>
                <c:pt idx="0">
                  <c:v>April</c:v>
                </c:pt>
                <c:pt idx="1">
                  <c:v>May</c:v>
                </c:pt>
                <c:pt idx="2">
                  <c:v>June</c:v>
                </c:pt>
                <c:pt idx="3">
                  <c:v>July</c:v>
                </c:pt>
                <c:pt idx="4">
                  <c:v>August</c:v>
                </c:pt>
                <c:pt idx="5">
                  <c:v>September</c:v>
                </c:pt>
                <c:pt idx="6">
                  <c:v>October</c:v>
                </c:pt>
                <c:pt idx="7">
                  <c:v>November</c:v>
                </c:pt>
                <c:pt idx="8">
                  <c:v>December</c:v>
                </c:pt>
                <c:pt idx="9">
                  <c:v>March</c:v>
                </c:pt>
                <c:pt idx="10">
                  <c:v>April</c:v>
                </c:pt>
                <c:pt idx="11">
                  <c:v>May</c:v>
                </c:pt>
                <c:pt idx="12">
                  <c:v>June</c:v>
                </c:pt>
                <c:pt idx="13">
                  <c:v>July</c:v>
                </c:pt>
                <c:pt idx="14">
                  <c:v>August</c:v>
                </c:pt>
                <c:pt idx="15">
                  <c:v>September</c:v>
                </c:pt>
                <c:pt idx="16">
                  <c:v>October</c:v>
                </c:pt>
                <c:pt idx="17">
                  <c:v>November</c:v>
                </c:pt>
                <c:pt idx="18">
                  <c:v>December</c:v>
                </c:pt>
                <c:pt idx="19">
                  <c:v>January</c:v>
                </c:pt>
                <c:pt idx="20">
                  <c:v>February</c:v>
                </c:pt>
                <c:pt idx="21">
                  <c:v>March</c:v>
                </c:pt>
                <c:pt idx="22">
                  <c:v>April</c:v>
                </c:pt>
              </c:strCache>
            </c:strRef>
          </c:cat>
          <c:val>
            <c:numRef>
              <c:f>'EDA 4'!$L$6:$L$28</c:f>
              <c:numCache>
                <c:formatCode>0.00</c:formatCode>
                <c:ptCount val="23"/>
                <c:pt idx="0">
                  <c:v>-1.0505581089954186</c:v>
                </c:pt>
                <c:pt idx="1">
                  <c:v>1.2276045122760604</c:v>
                </c:pt>
                <c:pt idx="2">
                  <c:v>1.2127171419206779</c:v>
                </c:pt>
                <c:pt idx="3">
                  <c:v>0</c:v>
                </c:pt>
                <c:pt idx="4">
                  <c:v>0.38860103626942638</c:v>
                </c:pt>
                <c:pt idx="5">
                  <c:v>0.38709677419354471</c:v>
                </c:pt>
                <c:pt idx="6">
                  <c:v>0.44987146529564076</c:v>
                </c:pt>
                <c:pt idx="7">
                  <c:v>0.57581573896351712</c:v>
                </c:pt>
                <c:pt idx="8">
                  <c:v>0.69974554707380587</c:v>
                </c:pt>
                <c:pt idx="9">
                  <c:v>2.1478205938092083</c:v>
                </c:pt>
                <c:pt idx="10">
                  <c:v>0.3710575139146709</c:v>
                </c:pt>
                <c:pt idx="11">
                  <c:v>2.1565003080714726</c:v>
                </c:pt>
                <c:pt idx="12">
                  <c:v>0.30156815440289503</c:v>
                </c:pt>
                <c:pt idx="13">
                  <c:v>0.42092603728201361</c:v>
                </c:pt>
                <c:pt idx="14">
                  <c:v>0.83832335329341656</c:v>
                </c:pt>
                <c:pt idx="15">
                  <c:v>0</c:v>
                </c:pt>
                <c:pt idx="16">
                  <c:v>0.41567695961994572</c:v>
                </c:pt>
                <c:pt idx="17">
                  <c:v>0.47309284447073408</c:v>
                </c:pt>
                <c:pt idx="18">
                  <c:v>0.41200706297821577</c:v>
                </c:pt>
                <c:pt idx="19">
                  <c:v>0.46893317702228099</c:v>
                </c:pt>
                <c:pt idx="20">
                  <c:v>0.46674445740955833</c:v>
                </c:pt>
                <c:pt idx="21">
                  <c:v>0.46457607433217851</c:v>
                </c:pt>
                <c:pt idx="22">
                  <c:v>6.5895953757225474</c:v>
                </c:pt>
              </c:numCache>
            </c:numRef>
          </c:val>
          <c:extLst>
            <c:ext xmlns:c16="http://schemas.microsoft.com/office/drawing/2014/chart" uri="{C3380CC4-5D6E-409C-BE32-E72D297353CC}">
              <c16:uniqueId val="{00000002-81F6-4B9F-9381-A87F58531295}"/>
            </c:ext>
          </c:extLst>
        </c:ser>
        <c:dLbls>
          <c:showLegendKey val="0"/>
          <c:showVal val="0"/>
          <c:showCatName val="0"/>
          <c:showSerName val="0"/>
          <c:showPercent val="0"/>
          <c:showBubbleSize val="0"/>
        </c:dLbls>
        <c:gapWidth val="219"/>
        <c:overlap val="-27"/>
        <c:axId val="560699952"/>
        <c:axId val="561044240"/>
      </c:barChart>
      <c:catAx>
        <c:axId val="56069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044240"/>
        <c:crosses val="autoZero"/>
        <c:auto val="1"/>
        <c:lblAlgn val="ctr"/>
        <c:lblOffset val="100"/>
        <c:noMultiLvlLbl val="0"/>
      </c:catAx>
      <c:valAx>
        <c:axId val="561044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99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24 Months before March 2020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 4'!$D$5</c:f>
              <c:strCache>
                <c:ptCount val="1"/>
                <c:pt idx="0">
                  <c:v>INFLATION(FOOD)</c:v>
                </c:pt>
              </c:strCache>
            </c:strRef>
          </c:tx>
          <c:spPr>
            <a:solidFill>
              <a:schemeClr val="accent1"/>
            </a:solidFill>
            <a:ln>
              <a:noFill/>
            </a:ln>
            <a:effectLst/>
          </c:spPr>
          <c:invertIfNegative val="0"/>
          <c:cat>
            <c:strRef>
              <c:f>'EDA 4'!$C$6:$C$28</c:f>
              <c:strCache>
                <c:ptCount val="23"/>
                <c:pt idx="0">
                  <c:v>March</c:v>
                </c:pt>
                <c:pt idx="1">
                  <c:v>April</c:v>
                </c:pt>
                <c:pt idx="2">
                  <c:v>May</c:v>
                </c:pt>
                <c:pt idx="3">
                  <c:v>June</c:v>
                </c:pt>
                <c:pt idx="4">
                  <c:v>July</c:v>
                </c:pt>
                <c:pt idx="5">
                  <c:v>August</c:v>
                </c:pt>
                <c:pt idx="6">
                  <c:v>September</c:v>
                </c:pt>
                <c:pt idx="7">
                  <c:v>October</c:v>
                </c:pt>
                <c:pt idx="8">
                  <c:v>November</c:v>
                </c:pt>
                <c:pt idx="9">
                  <c:v>December</c:v>
                </c:pt>
                <c:pt idx="10">
                  <c:v>January</c:v>
                </c:pt>
                <c:pt idx="11">
                  <c:v>February</c:v>
                </c:pt>
                <c:pt idx="12">
                  <c:v>March</c:v>
                </c:pt>
                <c:pt idx="13">
                  <c:v>May</c:v>
                </c:pt>
                <c:pt idx="14">
                  <c:v>June</c:v>
                </c:pt>
                <c:pt idx="15">
                  <c:v>July</c:v>
                </c:pt>
                <c:pt idx="16">
                  <c:v>August</c:v>
                </c:pt>
                <c:pt idx="17">
                  <c:v>September</c:v>
                </c:pt>
                <c:pt idx="18">
                  <c:v>October</c:v>
                </c:pt>
                <c:pt idx="19">
                  <c:v>November</c:v>
                </c:pt>
                <c:pt idx="20">
                  <c:v>December</c:v>
                </c:pt>
                <c:pt idx="21">
                  <c:v>January</c:v>
                </c:pt>
                <c:pt idx="22">
                  <c:v>February</c:v>
                </c:pt>
              </c:strCache>
            </c:strRef>
          </c:cat>
          <c:val>
            <c:numRef>
              <c:f>'EDA 4'!$D$6:$D$28</c:f>
              <c:numCache>
                <c:formatCode>0.00</c:formatCode>
                <c:ptCount val="23"/>
                <c:pt idx="0">
                  <c:v>-0.24994319472847595</c:v>
                </c:pt>
                <c:pt idx="1">
                  <c:v>6.2642369020508917E-2</c:v>
                </c:pt>
                <c:pt idx="2">
                  <c:v>0.15366228444595173</c:v>
                </c:pt>
                <c:pt idx="3">
                  <c:v>0.81259234003865111</c:v>
                </c:pt>
                <c:pt idx="4">
                  <c:v>1.1949720985288212</c:v>
                </c:pt>
                <c:pt idx="5">
                  <c:v>0.18938338996269807</c:v>
                </c:pt>
                <c:pt idx="6">
                  <c:v>-1.0674375938177723</c:v>
                </c:pt>
                <c:pt idx="7">
                  <c:v>-0.18544534981736188</c:v>
                </c:pt>
                <c:pt idx="8">
                  <c:v>-2.8149983109997334E-2</c:v>
                </c:pt>
                <c:pt idx="9">
                  <c:v>-0.72647406656532887</c:v>
                </c:pt>
                <c:pt idx="10">
                  <c:v>-0.533242568640791</c:v>
                </c:pt>
                <c:pt idx="11">
                  <c:v>0.2110185924489589</c:v>
                </c:pt>
                <c:pt idx="12">
                  <c:v>0.33008935177281784</c:v>
                </c:pt>
                <c:pt idx="13">
                  <c:v>1.6450167337909254</c:v>
                </c:pt>
                <c:pt idx="14">
                  <c:v>1.2389084212288528</c:v>
                </c:pt>
                <c:pt idx="15">
                  <c:v>1.289895816107153</c:v>
                </c:pt>
                <c:pt idx="16">
                  <c:v>0.48979591836734693</c:v>
                </c:pt>
                <c:pt idx="17">
                  <c:v>0.60655293799078358</c:v>
                </c:pt>
                <c:pt idx="18">
                  <c:v>1.501857135167135</c:v>
                </c:pt>
                <c:pt idx="19">
                  <c:v>1.3417479847263689</c:v>
                </c:pt>
                <c:pt idx="20">
                  <c:v>1.8420639489245927</c:v>
                </c:pt>
                <c:pt idx="21">
                  <c:v>-0.29289347926623877</c:v>
                </c:pt>
                <c:pt idx="22">
                  <c:v>-1.4842300556586248</c:v>
                </c:pt>
              </c:numCache>
            </c:numRef>
          </c:val>
          <c:extLst>
            <c:ext xmlns:c16="http://schemas.microsoft.com/office/drawing/2014/chart" uri="{C3380CC4-5D6E-409C-BE32-E72D297353CC}">
              <c16:uniqueId val="{00000000-7DB0-413A-82FB-5C2748221E00}"/>
            </c:ext>
          </c:extLst>
        </c:ser>
        <c:ser>
          <c:idx val="1"/>
          <c:order val="1"/>
          <c:tx>
            <c:strRef>
              <c:f>'EDA 4'!$E$5</c:f>
              <c:strCache>
                <c:ptCount val="1"/>
                <c:pt idx="0">
                  <c:v>INFLATION(ESSENTIAL)</c:v>
                </c:pt>
              </c:strCache>
            </c:strRef>
          </c:tx>
          <c:spPr>
            <a:solidFill>
              <a:schemeClr val="accent2"/>
            </a:solidFill>
            <a:ln>
              <a:noFill/>
            </a:ln>
            <a:effectLst/>
          </c:spPr>
          <c:invertIfNegative val="0"/>
          <c:cat>
            <c:strRef>
              <c:f>'EDA 4'!$C$6:$C$28</c:f>
              <c:strCache>
                <c:ptCount val="23"/>
                <c:pt idx="0">
                  <c:v>March</c:v>
                </c:pt>
                <c:pt idx="1">
                  <c:v>April</c:v>
                </c:pt>
                <c:pt idx="2">
                  <c:v>May</c:v>
                </c:pt>
                <c:pt idx="3">
                  <c:v>June</c:v>
                </c:pt>
                <c:pt idx="4">
                  <c:v>July</c:v>
                </c:pt>
                <c:pt idx="5">
                  <c:v>August</c:v>
                </c:pt>
                <c:pt idx="6">
                  <c:v>September</c:v>
                </c:pt>
                <c:pt idx="7">
                  <c:v>October</c:v>
                </c:pt>
                <c:pt idx="8">
                  <c:v>November</c:v>
                </c:pt>
                <c:pt idx="9">
                  <c:v>December</c:v>
                </c:pt>
                <c:pt idx="10">
                  <c:v>January</c:v>
                </c:pt>
                <c:pt idx="11">
                  <c:v>February</c:v>
                </c:pt>
                <c:pt idx="12">
                  <c:v>March</c:v>
                </c:pt>
                <c:pt idx="13">
                  <c:v>May</c:v>
                </c:pt>
                <c:pt idx="14">
                  <c:v>June</c:v>
                </c:pt>
                <c:pt idx="15">
                  <c:v>July</c:v>
                </c:pt>
                <c:pt idx="16">
                  <c:v>August</c:v>
                </c:pt>
                <c:pt idx="17">
                  <c:v>September</c:v>
                </c:pt>
                <c:pt idx="18">
                  <c:v>October</c:v>
                </c:pt>
                <c:pt idx="19">
                  <c:v>November</c:v>
                </c:pt>
                <c:pt idx="20">
                  <c:v>December</c:v>
                </c:pt>
                <c:pt idx="21">
                  <c:v>January</c:v>
                </c:pt>
                <c:pt idx="22">
                  <c:v>February</c:v>
                </c:pt>
              </c:strCache>
            </c:strRef>
          </c:cat>
          <c:val>
            <c:numRef>
              <c:f>'EDA 4'!$E$6:$E$28</c:f>
              <c:numCache>
                <c:formatCode>0.00</c:formatCode>
                <c:ptCount val="23"/>
                <c:pt idx="0">
                  <c:v>0.36809815950920244</c:v>
                </c:pt>
                <c:pt idx="1">
                  <c:v>0.64792176039119243</c:v>
                </c:pt>
                <c:pt idx="2">
                  <c:v>0.47370338880116331</c:v>
                </c:pt>
                <c:pt idx="3">
                  <c:v>0.36266924564798281</c:v>
                </c:pt>
                <c:pt idx="4">
                  <c:v>0.67453625632376646</c:v>
                </c:pt>
                <c:pt idx="5">
                  <c:v>0.65805216558985413</c:v>
                </c:pt>
                <c:pt idx="6">
                  <c:v>0.55865921787710038</c:v>
                </c:pt>
                <c:pt idx="7">
                  <c:v>1.0047281323877069</c:v>
                </c:pt>
                <c:pt idx="8">
                  <c:v>-3.5108250438847813E-2</c:v>
                </c:pt>
                <c:pt idx="9">
                  <c:v>-0.1521891828611513</c:v>
                </c:pt>
                <c:pt idx="10">
                  <c:v>-0.2579434869269604</c:v>
                </c:pt>
                <c:pt idx="11">
                  <c:v>7.0530151639815325E-2</c:v>
                </c:pt>
                <c:pt idx="12">
                  <c:v>0.32890872782804909</c:v>
                </c:pt>
                <c:pt idx="13">
                  <c:v>0.44491277367987825</c:v>
                </c:pt>
                <c:pt idx="14">
                  <c:v>0.11656370206317754</c:v>
                </c:pt>
                <c:pt idx="15">
                  <c:v>0.27942717429271058</c:v>
                </c:pt>
                <c:pt idx="16">
                  <c:v>0.22059677232089436</c:v>
                </c:pt>
                <c:pt idx="17">
                  <c:v>0.23169601482855817</c:v>
                </c:pt>
                <c:pt idx="18">
                  <c:v>0.38141470180303289</c:v>
                </c:pt>
                <c:pt idx="19">
                  <c:v>0.3799654576856859</c:v>
                </c:pt>
                <c:pt idx="20">
                  <c:v>0.57352603808211589</c:v>
                </c:pt>
                <c:pt idx="21">
                  <c:v>0.46760948905111044</c:v>
                </c:pt>
                <c:pt idx="22">
                  <c:v>0.39732092178453848</c:v>
                </c:pt>
              </c:numCache>
            </c:numRef>
          </c:val>
          <c:extLst>
            <c:ext xmlns:c16="http://schemas.microsoft.com/office/drawing/2014/chart" uri="{C3380CC4-5D6E-409C-BE32-E72D297353CC}">
              <c16:uniqueId val="{00000001-7DB0-413A-82FB-5C2748221E00}"/>
            </c:ext>
          </c:extLst>
        </c:ser>
        <c:ser>
          <c:idx val="2"/>
          <c:order val="2"/>
          <c:tx>
            <c:strRef>
              <c:f>'EDA 4'!$F$5</c:f>
              <c:strCache>
                <c:ptCount val="1"/>
                <c:pt idx="0">
                  <c:v>INFLATION(HEALTH)</c:v>
                </c:pt>
              </c:strCache>
            </c:strRef>
          </c:tx>
          <c:spPr>
            <a:solidFill>
              <a:schemeClr val="accent3"/>
            </a:solidFill>
            <a:ln>
              <a:noFill/>
            </a:ln>
            <a:effectLst/>
          </c:spPr>
          <c:invertIfNegative val="0"/>
          <c:cat>
            <c:strRef>
              <c:f>'EDA 4'!$C$6:$C$28</c:f>
              <c:strCache>
                <c:ptCount val="23"/>
                <c:pt idx="0">
                  <c:v>March</c:v>
                </c:pt>
                <c:pt idx="1">
                  <c:v>April</c:v>
                </c:pt>
                <c:pt idx="2">
                  <c:v>May</c:v>
                </c:pt>
                <c:pt idx="3">
                  <c:v>June</c:v>
                </c:pt>
                <c:pt idx="4">
                  <c:v>July</c:v>
                </c:pt>
                <c:pt idx="5">
                  <c:v>August</c:v>
                </c:pt>
                <c:pt idx="6">
                  <c:v>September</c:v>
                </c:pt>
                <c:pt idx="7">
                  <c:v>October</c:v>
                </c:pt>
                <c:pt idx="8">
                  <c:v>November</c:v>
                </c:pt>
                <c:pt idx="9">
                  <c:v>December</c:v>
                </c:pt>
                <c:pt idx="10">
                  <c:v>January</c:v>
                </c:pt>
                <c:pt idx="11">
                  <c:v>February</c:v>
                </c:pt>
                <c:pt idx="12">
                  <c:v>March</c:v>
                </c:pt>
                <c:pt idx="13">
                  <c:v>May</c:v>
                </c:pt>
                <c:pt idx="14">
                  <c:v>June</c:v>
                </c:pt>
                <c:pt idx="15">
                  <c:v>July</c:v>
                </c:pt>
                <c:pt idx="16">
                  <c:v>August</c:v>
                </c:pt>
                <c:pt idx="17">
                  <c:v>September</c:v>
                </c:pt>
                <c:pt idx="18">
                  <c:v>October</c:v>
                </c:pt>
                <c:pt idx="19">
                  <c:v>November</c:v>
                </c:pt>
                <c:pt idx="20">
                  <c:v>December</c:v>
                </c:pt>
                <c:pt idx="21">
                  <c:v>January</c:v>
                </c:pt>
                <c:pt idx="22">
                  <c:v>February</c:v>
                </c:pt>
              </c:strCache>
            </c:strRef>
          </c:cat>
          <c:val>
            <c:numRef>
              <c:f>'EDA 4'!$F$6:$F$28</c:f>
              <c:numCache>
                <c:formatCode>0.00</c:formatCode>
                <c:ptCount val="23"/>
                <c:pt idx="0">
                  <c:v>0.37369207772795215</c:v>
                </c:pt>
                <c:pt idx="1">
                  <c:v>0.6701414743112265</c:v>
                </c:pt>
                <c:pt idx="2">
                  <c:v>0.59171597633136941</c:v>
                </c:pt>
                <c:pt idx="3">
                  <c:v>0.14705882352940342</c:v>
                </c:pt>
                <c:pt idx="4">
                  <c:v>0.58737151248165298</c:v>
                </c:pt>
                <c:pt idx="5">
                  <c:v>0.51094890510948077</c:v>
                </c:pt>
                <c:pt idx="6">
                  <c:v>0.5083514887436581</c:v>
                </c:pt>
                <c:pt idx="7">
                  <c:v>2.6734104046242693</c:v>
                </c:pt>
                <c:pt idx="8">
                  <c:v>0</c:v>
                </c:pt>
                <c:pt idx="9">
                  <c:v>1.9704433497537026</c:v>
                </c:pt>
                <c:pt idx="10">
                  <c:v>0.13802622498273887</c:v>
                </c:pt>
                <c:pt idx="11">
                  <c:v>0.34458993797381116</c:v>
                </c:pt>
                <c:pt idx="12">
                  <c:v>0.41208791208790818</c:v>
                </c:pt>
                <c:pt idx="13">
                  <c:v>0.47879616963065463</c:v>
                </c:pt>
                <c:pt idx="14">
                  <c:v>0.3403675970047651</c:v>
                </c:pt>
                <c:pt idx="15">
                  <c:v>0.33921302578018991</c:v>
                </c:pt>
                <c:pt idx="16">
                  <c:v>0.40567951318458034</c:v>
                </c:pt>
                <c:pt idx="17">
                  <c:v>0.33670033670033667</c:v>
                </c:pt>
                <c:pt idx="18">
                  <c:v>0.26845637583892995</c:v>
                </c:pt>
                <c:pt idx="19">
                  <c:v>0.33467202141900937</c:v>
                </c:pt>
                <c:pt idx="20">
                  <c:v>0.33355570380253502</c:v>
                </c:pt>
                <c:pt idx="21">
                  <c:v>0.53191489361700994</c:v>
                </c:pt>
                <c:pt idx="22">
                  <c:v>0.3306878306878307</c:v>
                </c:pt>
              </c:numCache>
            </c:numRef>
          </c:val>
          <c:extLst>
            <c:ext xmlns:c16="http://schemas.microsoft.com/office/drawing/2014/chart" uri="{C3380CC4-5D6E-409C-BE32-E72D297353CC}">
              <c16:uniqueId val="{00000002-7DB0-413A-82FB-5C2748221E00}"/>
            </c:ext>
          </c:extLst>
        </c:ser>
        <c:dLbls>
          <c:showLegendKey val="0"/>
          <c:showVal val="0"/>
          <c:showCatName val="0"/>
          <c:showSerName val="0"/>
          <c:showPercent val="0"/>
          <c:showBubbleSize val="0"/>
        </c:dLbls>
        <c:gapWidth val="219"/>
        <c:overlap val="-27"/>
        <c:axId val="431318144"/>
        <c:axId val="431322944"/>
      </c:barChart>
      <c:catAx>
        <c:axId val="43131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322944"/>
        <c:crosses val="autoZero"/>
        <c:auto val="1"/>
        <c:lblAlgn val="ctr"/>
        <c:lblOffset val="100"/>
        <c:noMultiLvlLbl val="0"/>
      </c:catAx>
      <c:valAx>
        <c:axId val="4313229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318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CORRELATION WITH CRUDE OIL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'EDA 5'!$L$8</c:f>
              <c:strCache>
                <c:ptCount val="1"/>
                <c:pt idx="0">
                  <c:v>CORRELATION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 5'!$K$9:$K$13</c:f>
              <c:strCache>
                <c:ptCount val="5"/>
                <c:pt idx="0">
                  <c:v>Food and beverages</c:v>
                </c:pt>
                <c:pt idx="1">
                  <c:v>Pan, tobacco and intoxicants</c:v>
                </c:pt>
                <c:pt idx="2">
                  <c:v>Clothing and footwear </c:v>
                </c:pt>
                <c:pt idx="3">
                  <c:v>Housing</c:v>
                </c:pt>
                <c:pt idx="4">
                  <c:v>Miscellaneous</c:v>
                </c:pt>
              </c:strCache>
            </c:strRef>
          </c:cat>
          <c:val>
            <c:numRef>
              <c:f>'EDA 5'!$L$9:$L$13</c:f>
              <c:numCache>
                <c:formatCode>0.000</c:formatCode>
                <c:ptCount val="5"/>
                <c:pt idx="0">
                  <c:v>0.15548138488251445</c:v>
                </c:pt>
                <c:pt idx="1">
                  <c:v>-0.10505199459327098</c:v>
                </c:pt>
                <c:pt idx="2">
                  <c:v>0.10244835675443902</c:v>
                </c:pt>
                <c:pt idx="3">
                  <c:v>0.16590361793377353</c:v>
                </c:pt>
                <c:pt idx="4">
                  <c:v>3.6218705796826477E-2</c:v>
                </c:pt>
              </c:numCache>
            </c:numRef>
          </c:val>
          <c:extLst>
            <c:ext xmlns:c16="http://schemas.microsoft.com/office/drawing/2014/chart" uri="{C3380CC4-5D6E-409C-BE32-E72D297353CC}">
              <c16:uniqueId val="{00000000-15B2-437E-8A98-CEBA5504C80B}"/>
            </c:ext>
          </c:extLst>
        </c:ser>
        <c:dLbls>
          <c:showLegendKey val="0"/>
          <c:showVal val="0"/>
          <c:showCatName val="0"/>
          <c:showSerName val="0"/>
          <c:showPercent val="0"/>
          <c:showBubbleSize val="0"/>
        </c:dLbls>
        <c:gapWidth val="150"/>
        <c:axId val="1060471664"/>
        <c:axId val="1004243792"/>
      </c:barChart>
      <c:catAx>
        <c:axId val="106047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243792"/>
        <c:crosses val="autoZero"/>
        <c:auto val="1"/>
        <c:lblAlgn val="ctr"/>
        <c:lblOffset val="100"/>
        <c:noMultiLvlLbl val="0"/>
      </c:catAx>
      <c:valAx>
        <c:axId val="1004243792"/>
        <c:scaling>
          <c:orientation val="minMax"/>
        </c:scaling>
        <c:delete val="0"/>
        <c:axPos val="b"/>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47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Case Study.xlsx]Sheet4!PivotTable2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2712956335004"/>
          <c:y val="0.14249781277340332"/>
          <c:w val="0.65397226861793789"/>
          <c:h val="0.53369240303295418"/>
        </c:manualLayout>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Sheet4!$B$4:$B$16</c:f>
              <c:numCache>
                <c:formatCode>General</c:formatCode>
                <c:ptCount val="12"/>
                <c:pt idx="0">
                  <c:v>4559.0999999999995</c:v>
                </c:pt>
                <c:pt idx="1">
                  <c:v>4559.7999999999993</c:v>
                </c:pt>
                <c:pt idx="2">
                  <c:v>4570.3999999999996</c:v>
                </c:pt>
                <c:pt idx="3">
                  <c:v>4178.1500000000005</c:v>
                </c:pt>
                <c:pt idx="4">
                  <c:v>4632.8250000000007</c:v>
                </c:pt>
                <c:pt idx="5">
                  <c:v>4133.2000000000007</c:v>
                </c:pt>
                <c:pt idx="6">
                  <c:v>4171.0000000000009</c:v>
                </c:pt>
                <c:pt idx="7">
                  <c:v>4200.2</c:v>
                </c:pt>
                <c:pt idx="8">
                  <c:v>4211.7</c:v>
                </c:pt>
                <c:pt idx="9">
                  <c:v>4243</c:v>
                </c:pt>
                <c:pt idx="10">
                  <c:v>4265</c:v>
                </c:pt>
                <c:pt idx="11">
                  <c:v>4254.0999999999995</c:v>
                </c:pt>
              </c:numCache>
            </c:numRef>
          </c:val>
          <c:smooth val="0"/>
          <c:extLst>
            <c:ext xmlns:c16="http://schemas.microsoft.com/office/drawing/2014/chart" uri="{C3380CC4-5D6E-409C-BE32-E72D297353CC}">
              <c16:uniqueId val="{00000000-7DA2-49A0-91D7-FDC49FD9E84F}"/>
            </c:ext>
          </c:extLst>
        </c:ser>
        <c:dLbls>
          <c:showLegendKey val="0"/>
          <c:showVal val="0"/>
          <c:showCatName val="0"/>
          <c:showSerName val="0"/>
          <c:showPercent val="0"/>
          <c:showBubbleSize val="0"/>
        </c:dLbls>
        <c:smooth val="0"/>
        <c:axId val="1586878224"/>
        <c:axId val="1586880624"/>
      </c:lineChart>
      <c:catAx>
        <c:axId val="158687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880624"/>
        <c:crosses val="autoZero"/>
        <c:auto val="1"/>
        <c:lblAlgn val="ctr"/>
        <c:lblOffset val="100"/>
        <c:noMultiLvlLbl val="0"/>
      </c:catAx>
      <c:valAx>
        <c:axId val="1586880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87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[CPI Case Study.xlsx]Sheet4!PivotTable3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Sheet4!$B$18:$B$19</c:f>
              <c:strCache>
                <c:ptCount val="1"/>
                <c:pt idx="0">
                  <c:v>Rural</c:v>
                </c:pt>
              </c:strCache>
            </c:strRef>
          </c:tx>
          <c:spPr>
            <a:solidFill>
              <a:schemeClr val="accent1">
                <a:shade val="65000"/>
              </a:schemeClr>
            </a:solidFill>
            <a:ln>
              <a:noFill/>
            </a:ln>
            <a:effectLst/>
          </c:spPr>
          <c:invertIfNegative val="0"/>
          <c:cat>
            <c:strRef>
              <c:f>Sheet4!$A$20:$A$31</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Sheet4!$B$20:$B$31</c:f>
              <c:numCache>
                <c:formatCode>General</c:formatCode>
                <c:ptCount val="11"/>
                <c:pt idx="0">
                  <c:v>110.40000000000002</c:v>
                </c:pt>
                <c:pt idx="1">
                  <c:v>117.89166666666665</c:v>
                </c:pt>
                <c:pt idx="2">
                  <c:v>124.30833333333335</c:v>
                </c:pt>
                <c:pt idx="3">
                  <c:v>131.27499999999998</c:v>
                </c:pt>
                <c:pt idx="4">
                  <c:v>135.6333333333333</c:v>
                </c:pt>
                <c:pt idx="5">
                  <c:v>140.73333333333335</c:v>
                </c:pt>
                <c:pt idx="6">
                  <c:v>145.18181818181819</c:v>
                </c:pt>
                <c:pt idx="7">
                  <c:v>153.82500000000002</c:v>
                </c:pt>
                <c:pt idx="8">
                  <c:v>162.03333333333333</c:v>
                </c:pt>
                <c:pt idx="9">
                  <c:v>173.125</c:v>
                </c:pt>
                <c:pt idx="10">
                  <c:v>178.47999999999996</c:v>
                </c:pt>
              </c:numCache>
            </c:numRef>
          </c:val>
          <c:extLst>
            <c:ext xmlns:c16="http://schemas.microsoft.com/office/drawing/2014/chart" uri="{C3380CC4-5D6E-409C-BE32-E72D297353CC}">
              <c16:uniqueId val="{00000000-DA34-45FB-8F5E-ECA8724885BB}"/>
            </c:ext>
          </c:extLst>
        </c:ser>
        <c:ser>
          <c:idx val="1"/>
          <c:order val="1"/>
          <c:tx>
            <c:strRef>
              <c:f>Sheet4!$C$18:$C$19</c:f>
              <c:strCache>
                <c:ptCount val="1"/>
                <c:pt idx="0">
                  <c:v>Rural+Urban</c:v>
                </c:pt>
              </c:strCache>
            </c:strRef>
          </c:tx>
          <c:spPr>
            <a:solidFill>
              <a:schemeClr val="accent1"/>
            </a:solidFill>
            <a:ln>
              <a:noFill/>
            </a:ln>
            <a:effectLst/>
          </c:spPr>
          <c:invertIfNegative val="0"/>
          <c:cat>
            <c:strRef>
              <c:f>Sheet4!$A$20:$A$31</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Sheet4!$C$20:$C$31</c:f>
              <c:numCache>
                <c:formatCode>General</c:formatCode>
                <c:ptCount val="11"/>
                <c:pt idx="0">
                  <c:v>110.03333333333332</c:v>
                </c:pt>
                <c:pt idx="1">
                  <c:v>117.34999999999998</c:v>
                </c:pt>
                <c:pt idx="2">
                  <c:v>123.10833333333331</c:v>
                </c:pt>
                <c:pt idx="3">
                  <c:v>129.20000000000002</c:v>
                </c:pt>
                <c:pt idx="4">
                  <c:v>133.5</c:v>
                </c:pt>
                <c:pt idx="5">
                  <c:v>138.77500000000001</c:v>
                </c:pt>
                <c:pt idx="6">
                  <c:v>144.18181818181819</c:v>
                </c:pt>
                <c:pt idx="7">
                  <c:v>152.7729166666667</c:v>
                </c:pt>
                <c:pt idx="8">
                  <c:v>161.45833333333334</c:v>
                </c:pt>
                <c:pt idx="9">
                  <c:v>172.14999999999998</c:v>
                </c:pt>
                <c:pt idx="10">
                  <c:v>177.62</c:v>
                </c:pt>
              </c:numCache>
            </c:numRef>
          </c:val>
          <c:extLst>
            <c:ext xmlns:c16="http://schemas.microsoft.com/office/drawing/2014/chart" uri="{C3380CC4-5D6E-409C-BE32-E72D297353CC}">
              <c16:uniqueId val="{00000004-DA34-45FB-8F5E-ECA8724885BB}"/>
            </c:ext>
          </c:extLst>
        </c:ser>
        <c:ser>
          <c:idx val="2"/>
          <c:order val="2"/>
          <c:tx>
            <c:strRef>
              <c:f>Sheet4!$D$18:$D$19</c:f>
              <c:strCache>
                <c:ptCount val="1"/>
                <c:pt idx="0">
                  <c:v>Urban</c:v>
                </c:pt>
              </c:strCache>
            </c:strRef>
          </c:tx>
          <c:spPr>
            <a:solidFill>
              <a:schemeClr val="accent1">
                <a:tint val="65000"/>
              </a:schemeClr>
            </a:solidFill>
            <a:ln>
              <a:noFill/>
            </a:ln>
            <a:effectLst/>
          </c:spPr>
          <c:invertIfNegative val="0"/>
          <c:cat>
            <c:strRef>
              <c:f>Sheet4!$A$20:$A$31</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Sheet4!$D$20:$D$31</c:f>
              <c:numCache>
                <c:formatCode>General</c:formatCode>
                <c:ptCount val="11"/>
                <c:pt idx="0">
                  <c:v>109.60833333333333</c:v>
                </c:pt>
                <c:pt idx="1">
                  <c:v>116.74166666666666</c:v>
                </c:pt>
                <c:pt idx="2">
                  <c:v>121.69166666666666</c:v>
                </c:pt>
                <c:pt idx="3">
                  <c:v>126.82499999999999</c:v>
                </c:pt>
                <c:pt idx="4">
                  <c:v>131.02500000000001</c:v>
                </c:pt>
                <c:pt idx="5">
                  <c:v>136.5</c:v>
                </c:pt>
                <c:pt idx="6">
                  <c:v>143.01818181818183</c:v>
                </c:pt>
                <c:pt idx="7">
                  <c:v>151.55000000000001</c:v>
                </c:pt>
                <c:pt idx="8">
                  <c:v>160.7583333333333</c:v>
                </c:pt>
                <c:pt idx="9">
                  <c:v>170.94999999999996</c:v>
                </c:pt>
                <c:pt idx="10">
                  <c:v>176.61999999999998</c:v>
                </c:pt>
              </c:numCache>
            </c:numRef>
          </c:val>
          <c:extLst>
            <c:ext xmlns:c16="http://schemas.microsoft.com/office/drawing/2014/chart" uri="{C3380CC4-5D6E-409C-BE32-E72D297353CC}">
              <c16:uniqueId val="{00000005-DA34-45FB-8F5E-ECA8724885BB}"/>
            </c:ext>
          </c:extLst>
        </c:ser>
        <c:dLbls>
          <c:showLegendKey val="0"/>
          <c:showVal val="0"/>
          <c:showCatName val="0"/>
          <c:showSerName val="0"/>
          <c:showPercent val="0"/>
          <c:showBubbleSize val="0"/>
        </c:dLbls>
        <c:gapWidth val="219"/>
        <c:axId val="1559300576"/>
        <c:axId val="1559302976"/>
      </c:barChart>
      <c:catAx>
        <c:axId val="155930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302976"/>
        <c:crosses val="autoZero"/>
        <c:auto val="1"/>
        <c:lblAlgn val="ctr"/>
        <c:lblOffset val="100"/>
        <c:noMultiLvlLbl val="0"/>
      </c:catAx>
      <c:valAx>
        <c:axId val="1559302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30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[CPI Case Study.xlsx]Sheet4!PivotTable2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Sheet4!$A$4:$A$16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Sheet4!$B$4:$B$16</c:f>
              <c:numCache>
                <c:formatCode>General</c:formatCode>
                <c:ptCount val="12"/>
                <c:pt idx="0">
                  <c:v>4559.0999999999995</c:v>
                </c:pt>
                <c:pt idx="1">
                  <c:v>4559.7999999999993</c:v>
                </c:pt>
                <c:pt idx="2">
                  <c:v>4570.3999999999996</c:v>
                </c:pt>
                <c:pt idx="3">
                  <c:v>4178.1500000000005</c:v>
                </c:pt>
                <c:pt idx="4">
                  <c:v>4632.8250000000007</c:v>
                </c:pt>
                <c:pt idx="5">
                  <c:v>4133.2000000000007</c:v>
                </c:pt>
                <c:pt idx="6">
                  <c:v>4171.0000000000009</c:v>
                </c:pt>
                <c:pt idx="7">
                  <c:v>4200.2</c:v>
                </c:pt>
                <c:pt idx="8">
                  <c:v>4211.7</c:v>
                </c:pt>
                <c:pt idx="9">
                  <c:v>4243</c:v>
                </c:pt>
                <c:pt idx="10">
                  <c:v>4265</c:v>
                </c:pt>
                <c:pt idx="11">
                  <c:v>4254.0999999999995</c:v>
                </c:pt>
              </c:numCache>
            </c:numRef>
          </c:val>
          <c:smooth val="0"/>
          <c:extLst>
            <c:ext xmlns:c16="http://schemas.microsoft.com/office/drawing/2014/chart" uri="{C3380CC4-5D6E-409C-BE32-E72D297353CC}">
              <c16:uniqueId val="{00000000-42A7-4C26-8310-CB06385427C8}"/>
            </c:ext>
          </c:extLst>
        </c:ser>
        <c:dLbls>
          <c:showLegendKey val="0"/>
          <c:showVal val="0"/>
          <c:showCatName val="0"/>
          <c:showSerName val="0"/>
          <c:showPercent val="0"/>
          <c:showBubbleSize val="0"/>
        </c:dLbls>
        <c:smooth val="0"/>
        <c:axId val="1586878224"/>
        <c:axId val="1586880624"/>
      </c:lineChart>
      <c:catAx>
        <c:axId val="158687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880624"/>
        <c:crosses val="autoZero"/>
        <c:auto val="1"/>
        <c:lblAlgn val="ctr"/>
        <c:lblOffset val="100"/>
        <c:noMultiLvlLbl val="0"/>
      </c:catAx>
      <c:valAx>
        <c:axId val="1586880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87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Contribution by each category in May</a:t>
            </a:r>
            <a:r>
              <a:rPr lang="en-US" baseline="0"/>
              <a:t> 2023</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manualLayout>
          <c:layoutTarget val="inner"/>
          <c:xMode val="edge"/>
          <c:yMode val="edge"/>
          <c:x val="0.33685439697623859"/>
          <c:y val="0.14054132838141303"/>
          <c:w val="0.29185633337295003"/>
          <c:h val="0.74707689151839696"/>
        </c:manualLayout>
      </c:layout>
      <c:pieChart>
        <c:varyColors val="1"/>
        <c:ser>
          <c:idx val="1"/>
          <c:order val="0"/>
          <c:tx>
            <c:strRef>
              <c:f>'EDA 1'!$D$11</c:f>
              <c:strCache>
                <c:ptCount val="1"/>
                <c:pt idx="0">
                  <c:v>% of contribution</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5C3-417E-9469-1A191F1B2787}"/>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5C3-417E-9469-1A191F1B2787}"/>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5C3-417E-9469-1A191F1B2787}"/>
              </c:ext>
            </c:extLst>
          </c:dPt>
          <c:dPt>
            <c:idx val="3"/>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5C3-417E-9469-1A191F1B2787}"/>
              </c:ext>
            </c:extLst>
          </c:dPt>
          <c:dPt>
            <c:idx val="4"/>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5C3-417E-9469-1A191F1B2787}"/>
              </c:ext>
            </c:extLst>
          </c:dPt>
          <c:dLbls>
            <c:dLbl>
              <c:idx val="0"/>
              <c:layout>
                <c:manualLayout>
                  <c:x val="-0.11871814184677529"/>
                  <c:y val="1.368718452946223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5C3-417E-9469-1A191F1B2787}"/>
                </c:ext>
              </c:extLst>
            </c:dLbl>
            <c:dLbl>
              <c:idx val="1"/>
              <c:layout>
                <c:manualLayout>
                  <c:x val="-1.280925679430832E-2"/>
                  <c:y val="-9.7453105008748445E-2"/>
                </c:manualLayout>
              </c:layout>
              <c:tx>
                <c:rich>
                  <a:bodyPr/>
                  <a:lstStyle/>
                  <a:p>
                    <a:fld id="{E807EB4B-D9B7-4953-89AD-8740E8282F3D}" type="PERCENTAGE">
                      <a:rPr lang="en-US" sz="800"/>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5C3-417E-9469-1A191F1B2787}"/>
                </c:ext>
              </c:extLst>
            </c:dLbl>
            <c:dLbl>
              <c:idx val="2"/>
              <c:layout>
                <c:manualLayout>
                  <c:x val="4.7818394380816608E-2"/>
                  <c:y val="-0.1117193201562199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5C3-417E-9469-1A191F1B2787}"/>
                </c:ext>
              </c:extLst>
            </c:dLbl>
            <c:dLbl>
              <c:idx val="4"/>
              <c:layout>
                <c:manualLayout>
                  <c:x val="7.4999348800578222E-2"/>
                  <c:y val="9.477399102865156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5C3-417E-9469-1A191F1B278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'EDA 1'!$B$12:$B$17</c15:sqref>
                  </c15:fullRef>
                </c:ext>
              </c:extLst>
              <c:f>'EDA 1'!$B$12:$B$16</c:f>
              <c:strCache>
                <c:ptCount val="5"/>
                <c:pt idx="0">
                  <c:v>Food and beverages</c:v>
                </c:pt>
                <c:pt idx="1">
                  <c:v>Pan, tobacco and intoxicants</c:v>
                </c:pt>
                <c:pt idx="2">
                  <c:v>Clothing and footwear </c:v>
                </c:pt>
                <c:pt idx="3">
                  <c:v>Housing</c:v>
                </c:pt>
                <c:pt idx="4">
                  <c:v>Miscellaneous</c:v>
                </c:pt>
              </c:strCache>
            </c:strRef>
          </c:cat>
          <c:val>
            <c:numRef>
              <c:extLst>
                <c:ext xmlns:c15="http://schemas.microsoft.com/office/drawing/2012/chart" uri="{02D57815-91ED-43cb-92C2-25804820EDAC}">
                  <c15:fullRef>
                    <c15:sqref>'EDA 1'!$D$12:$D$17</c15:sqref>
                  </c15:fullRef>
                </c:ext>
              </c:extLst>
              <c:f>'EDA 1'!$D$12:$D$16</c:f>
              <c:numCache>
                <c:formatCode>0</c:formatCode>
                <c:ptCount val="5"/>
                <c:pt idx="0">
                  <c:v>45.979829386909024</c:v>
                </c:pt>
                <c:pt idx="1">
                  <c:v>4.0062186079885187</c:v>
                </c:pt>
                <c:pt idx="2">
                  <c:v>11.026070318105715</c:v>
                </c:pt>
                <c:pt idx="3">
                  <c:v>10.63541417523718</c:v>
                </c:pt>
                <c:pt idx="4">
                  <c:v>28.352467511759542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35C3-417E-9469-1A191F1B278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[CPI Case Study.xlsx]Sheet4!PivotTable3</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Sheet4!$B$18:$B$19</c:f>
              <c:strCache>
                <c:ptCount val="1"/>
                <c:pt idx="0">
                  <c:v>Rural</c:v>
                </c:pt>
              </c:strCache>
            </c:strRef>
          </c:tx>
          <c:spPr>
            <a:solidFill>
              <a:schemeClr val="accent1">
                <a:shade val="65000"/>
              </a:schemeClr>
            </a:solidFill>
            <a:ln>
              <a:noFill/>
            </a:ln>
            <a:effectLst/>
          </c:spPr>
          <c:invertIfNegative val="0"/>
          <c:cat>
            <c:strRef>
              <c:f>Sheet4!$A$20:$A$31</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Sheet4!$B$20:$B$31</c:f>
              <c:numCache>
                <c:formatCode>General</c:formatCode>
                <c:ptCount val="11"/>
                <c:pt idx="0">
                  <c:v>110.40000000000002</c:v>
                </c:pt>
                <c:pt idx="1">
                  <c:v>117.89166666666665</c:v>
                </c:pt>
                <c:pt idx="2">
                  <c:v>124.30833333333335</c:v>
                </c:pt>
                <c:pt idx="3">
                  <c:v>131.27499999999998</c:v>
                </c:pt>
                <c:pt idx="4">
                  <c:v>135.6333333333333</c:v>
                </c:pt>
                <c:pt idx="5">
                  <c:v>140.73333333333335</c:v>
                </c:pt>
                <c:pt idx="6">
                  <c:v>145.18181818181819</c:v>
                </c:pt>
                <c:pt idx="7">
                  <c:v>153.82500000000002</c:v>
                </c:pt>
                <c:pt idx="8">
                  <c:v>162.03333333333333</c:v>
                </c:pt>
                <c:pt idx="9">
                  <c:v>173.125</c:v>
                </c:pt>
                <c:pt idx="10">
                  <c:v>178.47999999999996</c:v>
                </c:pt>
              </c:numCache>
            </c:numRef>
          </c:val>
          <c:extLst>
            <c:ext xmlns:c16="http://schemas.microsoft.com/office/drawing/2014/chart" uri="{C3380CC4-5D6E-409C-BE32-E72D297353CC}">
              <c16:uniqueId val="{00000000-67AC-4A39-BA88-85C4A5DEB542}"/>
            </c:ext>
          </c:extLst>
        </c:ser>
        <c:ser>
          <c:idx val="1"/>
          <c:order val="1"/>
          <c:tx>
            <c:strRef>
              <c:f>Sheet4!$C$18:$C$19</c:f>
              <c:strCache>
                <c:ptCount val="1"/>
                <c:pt idx="0">
                  <c:v>Rural+Urban</c:v>
                </c:pt>
              </c:strCache>
            </c:strRef>
          </c:tx>
          <c:spPr>
            <a:solidFill>
              <a:schemeClr val="accent1"/>
            </a:solidFill>
            <a:ln>
              <a:noFill/>
            </a:ln>
            <a:effectLst/>
          </c:spPr>
          <c:invertIfNegative val="0"/>
          <c:cat>
            <c:strRef>
              <c:f>Sheet4!$A$20:$A$31</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Sheet4!$C$20:$C$31</c:f>
              <c:numCache>
                <c:formatCode>General</c:formatCode>
                <c:ptCount val="11"/>
                <c:pt idx="0">
                  <c:v>110.03333333333332</c:v>
                </c:pt>
                <c:pt idx="1">
                  <c:v>117.34999999999998</c:v>
                </c:pt>
                <c:pt idx="2">
                  <c:v>123.10833333333331</c:v>
                </c:pt>
                <c:pt idx="3">
                  <c:v>129.20000000000002</c:v>
                </c:pt>
                <c:pt idx="4">
                  <c:v>133.5</c:v>
                </c:pt>
                <c:pt idx="5">
                  <c:v>138.77500000000001</c:v>
                </c:pt>
                <c:pt idx="6">
                  <c:v>144.18181818181819</c:v>
                </c:pt>
                <c:pt idx="7">
                  <c:v>152.7729166666667</c:v>
                </c:pt>
                <c:pt idx="8">
                  <c:v>161.45833333333334</c:v>
                </c:pt>
                <c:pt idx="9">
                  <c:v>172.14999999999998</c:v>
                </c:pt>
                <c:pt idx="10">
                  <c:v>177.62</c:v>
                </c:pt>
              </c:numCache>
            </c:numRef>
          </c:val>
          <c:extLst>
            <c:ext xmlns:c16="http://schemas.microsoft.com/office/drawing/2014/chart" uri="{C3380CC4-5D6E-409C-BE32-E72D297353CC}">
              <c16:uniqueId val="{00000004-67AC-4A39-BA88-85C4A5DEB542}"/>
            </c:ext>
          </c:extLst>
        </c:ser>
        <c:ser>
          <c:idx val="2"/>
          <c:order val="2"/>
          <c:tx>
            <c:strRef>
              <c:f>Sheet4!$D$18:$D$19</c:f>
              <c:strCache>
                <c:ptCount val="1"/>
                <c:pt idx="0">
                  <c:v>Urban</c:v>
                </c:pt>
              </c:strCache>
            </c:strRef>
          </c:tx>
          <c:spPr>
            <a:solidFill>
              <a:schemeClr val="accent1">
                <a:tint val="65000"/>
              </a:schemeClr>
            </a:solidFill>
            <a:ln>
              <a:noFill/>
            </a:ln>
            <a:effectLst/>
          </c:spPr>
          <c:invertIfNegative val="0"/>
          <c:cat>
            <c:strRef>
              <c:f>Sheet4!$A$20:$A$31</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Sheet4!$D$20:$D$31</c:f>
              <c:numCache>
                <c:formatCode>General</c:formatCode>
                <c:ptCount val="11"/>
                <c:pt idx="0">
                  <c:v>109.60833333333333</c:v>
                </c:pt>
                <c:pt idx="1">
                  <c:v>116.74166666666666</c:v>
                </c:pt>
                <c:pt idx="2">
                  <c:v>121.69166666666666</c:v>
                </c:pt>
                <c:pt idx="3">
                  <c:v>126.82499999999999</c:v>
                </c:pt>
                <c:pt idx="4">
                  <c:v>131.02500000000001</c:v>
                </c:pt>
                <c:pt idx="5">
                  <c:v>136.5</c:v>
                </c:pt>
                <c:pt idx="6">
                  <c:v>143.01818181818183</c:v>
                </c:pt>
                <c:pt idx="7">
                  <c:v>151.55000000000001</c:v>
                </c:pt>
                <c:pt idx="8">
                  <c:v>160.7583333333333</c:v>
                </c:pt>
                <c:pt idx="9">
                  <c:v>170.94999999999996</c:v>
                </c:pt>
                <c:pt idx="10">
                  <c:v>176.61999999999998</c:v>
                </c:pt>
              </c:numCache>
            </c:numRef>
          </c:val>
          <c:extLst>
            <c:ext xmlns:c16="http://schemas.microsoft.com/office/drawing/2014/chart" uri="{C3380CC4-5D6E-409C-BE32-E72D297353CC}">
              <c16:uniqueId val="{00000005-67AC-4A39-BA88-85C4A5DEB542}"/>
            </c:ext>
          </c:extLst>
        </c:ser>
        <c:dLbls>
          <c:showLegendKey val="0"/>
          <c:showVal val="0"/>
          <c:showCatName val="0"/>
          <c:showSerName val="0"/>
          <c:showPercent val="0"/>
          <c:showBubbleSize val="0"/>
        </c:dLbls>
        <c:gapWidth val="219"/>
        <c:axId val="1559300576"/>
        <c:axId val="1559302976"/>
      </c:barChart>
      <c:catAx>
        <c:axId val="155930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302976"/>
        <c:crosses val="autoZero"/>
        <c:auto val="1"/>
        <c:lblAlgn val="ctr"/>
        <c:lblOffset val="100"/>
        <c:noMultiLvlLbl val="0"/>
      </c:catAx>
      <c:valAx>
        <c:axId val="1559302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30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 TREND OF CPI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'EDA 2'!$J$5</c:f>
              <c:strCache>
                <c:ptCount val="1"/>
                <c:pt idx="0">
                  <c:v>Inflation</c:v>
                </c:pt>
              </c:strCache>
            </c:strRef>
          </c:tx>
          <c:spPr>
            <a:ln w="28575" cap="rnd">
              <a:solidFill>
                <a:schemeClr val="accent1"/>
              </a:solidFill>
              <a:round/>
            </a:ln>
            <a:effectLst/>
          </c:spPr>
          <c:marker>
            <c:symbol val="none"/>
          </c:marker>
          <c:cat>
            <c:numRef>
              <c:f>'EDA 2'!$G$6:$G$11</c:f>
              <c:numCache>
                <c:formatCode>General</c:formatCode>
                <c:ptCount val="6"/>
                <c:pt idx="0">
                  <c:v>2017</c:v>
                </c:pt>
                <c:pt idx="1">
                  <c:v>2018</c:v>
                </c:pt>
                <c:pt idx="2">
                  <c:v>2019</c:v>
                </c:pt>
                <c:pt idx="3">
                  <c:v>2020</c:v>
                </c:pt>
                <c:pt idx="4">
                  <c:v>2021</c:v>
                </c:pt>
                <c:pt idx="5">
                  <c:v>2022</c:v>
                </c:pt>
              </c:numCache>
            </c:numRef>
          </c:cat>
          <c:val>
            <c:numRef>
              <c:f>'EDA 2'!$J$6:$J$11</c:f>
              <c:numCache>
                <c:formatCode>0.00%</c:formatCode>
                <c:ptCount val="6"/>
                <c:pt idx="0">
                  <c:v>5.295471987720627E-2</c:v>
                </c:pt>
                <c:pt idx="1">
                  <c:v>2.3374726077428697E-2</c:v>
                </c:pt>
                <c:pt idx="2">
                  <c:v>7.7363896848137617E-2</c:v>
                </c:pt>
                <c:pt idx="3">
                  <c:v>5.7922769640479481E-2</c:v>
                </c:pt>
                <c:pt idx="4">
                  <c:v>5.657978385251098E-2</c:v>
                </c:pt>
                <c:pt idx="5">
                  <c:v>6.0350030175015092E-2</c:v>
                </c:pt>
              </c:numCache>
            </c:numRef>
          </c:val>
          <c:smooth val="0"/>
          <c:extLst>
            <c:ext xmlns:c16="http://schemas.microsoft.com/office/drawing/2014/chart" uri="{C3380CC4-5D6E-409C-BE32-E72D297353CC}">
              <c16:uniqueId val="{00000000-C193-4749-81F7-E11610B8E0A9}"/>
            </c:ext>
          </c:extLst>
        </c:ser>
        <c:dLbls>
          <c:showLegendKey val="0"/>
          <c:showVal val="0"/>
          <c:showCatName val="0"/>
          <c:showSerName val="0"/>
          <c:showPercent val="0"/>
          <c:showBubbleSize val="0"/>
        </c:dLbls>
        <c:smooth val="0"/>
        <c:axId val="757465312"/>
        <c:axId val="757468672"/>
      </c:lineChart>
      <c:catAx>
        <c:axId val="75746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68672"/>
        <c:crosses val="autoZero"/>
        <c:auto val="1"/>
        <c:lblAlgn val="ctr"/>
        <c:lblOffset val="100"/>
        <c:noMultiLvlLbl val="0"/>
      </c:catAx>
      <c:valAx>
        <c:axId val="7574686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65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clusteredColumn" uniqueId="{280D0A97-D89B-4FEA-BAA1-427132676696}" formatIdx="0">
          <cx:tx>
            <cx:txData>
              <cx:f>_xlchart.v1.1</cx:f>
              <cx:v>Sum</cx:v>
            </cx:txData>
          </cx:tx>
          <cx:dataId val="0"/>
          <cx:layoutPr>
            <cx:aggregation/>
          </cx:layoutPr>
        </cx:series>
      </cx:plotAreaRegion>
      <cx:axis id="0">
        <cx:catScaling gapWidth="0"/>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plotArea>
      <cx:plotAreaRegion>
        <cx:series layoutId="clusteredColumn" uniqueId="{280D0A97-D89B-4FEA-BAA1-427132676696}" formatIdx="0">
          <cx:tx>
            <cx:txData>
              <cx:f>_xlchart.v1.10</cx:f>
              <cx:v>Sum</cx:v>
            </cx:txData>
          </cx:tx>
          <cx:dataId val="0"/>
          <cx:layoutPr>
            <cx:aggregation/>
          </cx:layoutPr>
          <cx:axisId val="1"/>
        </cx:series>
        <cx:series layoutId="paretoLine" ownerIdx="0" uniqueId="{EFE2751F-EB31-41EA-BD3F-908481831082}">
          <cx:axisId val="2"/>
        </cx:series>
      </cx:plotAreaRegion>
      <cx:axis id="0">
        <cx:catScaling gapWidth="0"/>
        <cx:title/>
        <cx:tickLabels/>
      </cx:axis>
      <cx:axis id="1">
        <cx:valScaling/>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8.xml"/><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2.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250563</xdr:colOff>
      <xdr:row>9</xdr:row>
      <xdr:rowOff>64420</xdr:rowOff>
    </xdr:from>
    <xdr:to>
      <xdr:col>9</xdr:col>
      <xdr:colOff>138043</xdr:colOff>
      <xdr:row>28</xdr:row>
      <xdr:rowOff>36812</xdr:rowOff>
    </xdr:to>
    <xdr:graphicFrame macro="">
      <xdr:nvGraphicFramePr>
        <xdr:cNvPr id="3" name="Chart 2">
          <a:extLst>
            <a:ext uri="{FF2B5EF4-FFF2-40B4-BE49-F238E27FC236}">
              <a16:creationId xmlns:a16="http://schemas.microsoft.com/office/drawing/2014/main" id="{FF232F50-200C-43D2-13C5-134DC0A7A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248480</xdr:colOff>
      <xdr:row>13</xdr:row>
      <xdr:rowOff>147246</xdr:rowOff>
    </xdr:from>
    <xdr:to>
      <xdr:col>5</xdr:col>
      <xdr:colOff>745436</xdr:colOff>
      <xdr:row>24</xdr:row>
      <xdr:rowOff>46014</xdr:rowOff>
    </xdr:to>
    <xdr:sp macro="" textlink="">
      <xdr:nvSpPr>
        <xdr:cNvPr id="4" name="Left Brace 3">
          <a:extLst>
            <a:ext uri="{FF2B5EF4-FFF2-40B4-BE49-F238E27FC236}">
              <a16:creationId xmlns:a16="http://schemas.microsoft.com/office/drawing/2014/main" id="{A44E23C0-A60E-03B2-DDB5-C8A5928D3984}"/>
            </a:ext>
          </a:extLst>
        </xdr:cNvPr>
        <xdr:cNvSpPr/>
      </xdr:nvSpPr>
      <xdr:spPr>
        <a:xfrm>
          <a:off x="7113842" y="2052246"/>
          <a:ext cx="496956" cy="1628913"/>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0.54566</cdr:x>
      <cdr:y>0.36637</cdr:y>
    </cdr:from>
    <cdr:to>
      <cdr:x>0.65348</cdr:x>
      <cdr:y>0.43196</cdr:y>
    </cdr:to>
    <cdr:cxnSp macro="">
      <cdr:nvCxnSpPr>
        <cdr:cNvPr id="3" name="Straight Arrow Connector 2">
          <a:extLst xmlns:a="http://schemas.openxmlformats.org/drawingml/2006/main">
            <a:ext uri="{FF2B5EF4-FFF2-40B4-BE49-F238E27FC236}">
              <a16:creationId xmlns:a16="http://schemas.microsoft.com/office/drawing/2014/main" id="{FEA98751-7EF7-C3CA-509A-AE7BCCB85BA0}"/>
            </a:ext>
          </a:extLst>
        </cdr:cNvPr>
        <cdr:cNvCxnSpPr/>
      </cdr:nvCxnSpPr>
      <cdr:spPr>
        <a:xfrm xmlns:a="http://schemas.openxmlformats.org/drawingml/2006/main" flipV="1">
          <a:off x="3619595" y="970684"/>
          <a:ext cx="715210" cy="17379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0.66054</cdr:x>
      <cdr:y>0.26798</cdr:y>
    </cdr:from>
    <cdr:to>
      <cdr:x>0.93261</cdr:x>
      <cdr:y>0.54802</cdr:y>
    </cdr:to>
    <cdr:sp macro="" textlink="">
      <cdr:nvSpPr>
        <cdr:cNvPr id="10" name="Speech Bubble: Rectangle with Corners Rounded 9">
          <a:extLst xmlns:a="http://schemas.openxmlformats.org/drawingml/2006/main">
            <a:ext uri="{FF2B5EF4-FFF2-40B4-BE49-F238E27FC236}">
              <a16:creationId xmlns:a16="http://schemas.microsoft.com/office/drawing/2014/main" id="{20126397-8A3F-51D6-4323-2982A110A1D1}"/>
            </a:ext>
          </a:extLst>
        </cdr:cNvPr>
        <cdr:cNvSpPr/>
      </cdr:nvSpPr>
      <cdr:spPr>
        <a:xfrm xmlns:a="http://schemas.openxmlformats.org/drawingml/2006/main">
          <a:off x="4381595" y="710000"/>
          <a:ext cx="1804737" cy="741947"/>
        </a:xfrm>
        <a:prstGeom xmlns:a="http://schemas.openxmlformats.org/drawingml/2006/main" prst="wedgeRoundRectCallout">
          <a:avLst/>
        </a:prstGeom>
        <a:solidFill xmlns:a="http://schemas.openxmlformats.org/drawingml/2006/main">
          <a:schemeClr val="accent1">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Food</a:t>
          </a:r>
          <a:r>
            <a:rPr lang="en-IN" kern="1200" baseline="0"/>
            <a:t> and beverages contributes 18% more than miscellaneous. </a:t>
          </a:r>
          <a:endParaRPr lang="en-IN" kern="1200"/>
        </a:p>
      </cdr:txBody>
    </cdr:sp>
  </cdr:relSizeAnchor>
  <cdr:relSizeAnchor xmlns:cdr="http://schemas.openxmlformats.org/drawingml/2006/chartDrawing">
    <cdr:from>
      <cdr:x>0.01418</cdr:x>
      <cdr:y>0.1435</cdr:y>
    </cdr:from>
    <cdr:to>
      <cdr:x>0.25767</cdr:x>
      <cdr:y>0.88885</cdr:y>
    </cdr:to>
    <cdr:sp macro="" textlink="">
      <cdr:nvSpPr>
        <cdr:cNvPr id="11" name="Flowchart: Alternate Process 10">
          <a:extLst xmlns:a="http://schemas.openxmlformats.org/drawingml/2006/main">
            <a:ext uri="{FF2B5EF4-FFF2-40B4-BE49-F238E27FC236}">
              <a16:creationId xmlns:a16="http://schemas.microsoft.com/office/drawing/2014/main" id="{226DE4CF-C5B7-6627-8F63-414DE81FD697}"/>
            </a:ext>
          </a:extLst>
        </cdr:cNvPr>
        <cdr:cNvSpPr/>
      </cdr:nvSpPr>
      <cdr:spPr>
        <a:xfrm xmlns:a="http://schemas.openxmlformats.org/drawingml/2006/main">
          <a:off x="99149" y="403981"/>
          <a:ext cx="1702536" cy="2098261"/>
        </a:xfrm>
        <a:prstGeom xmlns:a="http://schemas.openxmlformats.org/drawingml/2006/main" prst="flowChartAlternateProcess">
          <a:avLst/>
        </a:prstGeom>
        <a:solidFill xmlns:a="http://schemas.openxmlformats.org/drawingml/2006/main">
          <a:schemeClr val="accent1">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1.All</a:t>
          </a:r>
          <a:r>
            <a:rPr lang="en-IN" kern="1200" baseline="0"/>
            <a:t> categories except food and beverages contributes 52% all together.</a:t>
          </a:r>
        </a:p>
        <a:p xmlns:a="http://schemas.openxmlformats.org/drawingml/2006/main">
          <a:endParaRPr lang="en-IN" kern="1200" baseline="0"/>
        </a:p>
        <a:p xmlns:a="http://schemas.openxmlformats.org/drawingml/2006/main">
          <a:r>
            <a:rPr lang="en-IN" kern="1200" baseline="0"/>
            <a:t>2.Only 4% of all is contributed by tobacco,pan and intoxicants as it is optional not all consumers did that.</a:t>
          </a:r>
          <a:endParaRPr lang="en-IN" kern="1200"/>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754</xdr:colOff>
      <xdr:row>13</xdr:row>
      <xdr:rowOff>158749</xdr:rowOff>
    </xdr:from>
    <xdr:to>
      <xdr:col>14</xdr:col>
      <xdr:colOff>555624</xdr:colOff>
      <xdr:row>32</xdr:row>
      <xdr:rowOff>114652</xdr:rowOff>
    </xdr:to>
    <xdr:graphicFrame macro="">
      <xdr:nvGraphicFramePr>
        <xdr:cNvPr id="3" name="Chart 2">
          <a:extLst>
            <a:ext uri="{FF2B5EF4-FFF2-40B4-BE49-F238E27FC236}">
              <a16:creationId xmlns:a16="http://schemas.microsoft.com/office/drawing/2014/main" id="{CEB64A69-819D-433C-8502-45B884B20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465666</xdr:colOff>
      <xdr:row>19</xdr:row>
      <xdr:rowOff>21167</xdr:rowOff>
    </xdr:from>
    <xdr:to>
      <xdr:col>10</xdr:col>
      <xdr:colOff>112889</xdr:colOff>
      <xdr:row>21</xdr:row>
      <xdr:rowOff>155222</xdr:rowOff>
    </xdr:to>
    <xdr:sp macro="" textlink="">
      <xdr:nvSpPr>
        <xdr:cNvPr id="4" name="Arrow: Up 3">
          <a:extLst>
            <a:ext uri="{FF2B5EF4-FFF2-40B4-BE49-F238E27FC236}">
              <a16:creationId xmlns:a16="http://schemas.microsoft.com/office/drawing/2014/main" id="{DBB7ECCE-3D4D-BECC-6087-425254DB4495}"/>
            </a:ext>
          </a:extLst>
        </xdr:cNvPr>
        <xdr:cNvSpPr/>
      </xdr:nvSpPr>
      <xdr:spPr>
        <a:xfrm>
          <a:off x="6378222" y="3175000"/>
          <a:ext cx="254000" cy="458611"/>
        </a:xfrm>
        <a:prstGeom prst="upArrow">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670275</xdr:colOff>
      <xdr:row>24</xdr:row>
      <xdr:rowOff>127000</xdr:rowOff>
    </xdr:from>
    <xdr:to>
      <xdr:col>11</xdr:col>
      <xdr:colOff>169333</xdr:colOff>
      <xdr:row>28</xdr:row>
      <xdr:rowOff>91723</xdr:rowOff>
    </xdr:to>
    <xdr:sp macro="" textlink="">
      <xdr:nvSpPr>
        <xdr:cNvPr id="5" name="Rectangle: Rounded Corners 4">
          <a:extLst>
            <a:ext uri="{FF2B5EF4-FFF2-40B4-BE49-F238E27FC236}">
              <a16:creationId xmlns:a16="http://schemas.microsoft.com/office/drawing/2014/main" id="{4CF9D438-C1BC-7842-F543-7548CAE8FE7B}"/>
            </a:ext>
          </a:extLst>
        </xdr:cNvPr>
        <xdr:cNvSpPr/>
      </xdr:nvSpPr>
      <xdr:spPr>
        <a:xfrm>
          <a:off x="5820831" y="4092222"/>
          <a:ext cx="1474613" cy="613834"/>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t>2018</a:t>
          </a:r>
          <a:r>
            <a:rPr lang="en-IN" sz="900" baseline="0"/>
            <a:t> has the least inflation rate which is 5.4% less than 2018</a:t>
          </a:r>
          <a:endParaRPr lang="en-IN" sz="9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0.29391</cdr:x>
      <cdr:y>0.50725</cdr:y>
    </cdr:from>
    <cdr:to>
      <cdr:x>0.31801</cdr:x>
      <cdr:y>0.60244</cdr:y>
    </cdr:to>
    <cdr:sp macro="" textlink="">
      <cdr:nvSpPr>
        <cdr:cNvPr id="2" name="Arrow: Down 1">
          <a:extLst xmlns:a="http://schemas.openxmlformats.org/drawingml/2006/main">
            <a:ext uri="{FF2B5EF4-FFF2-40B4-BE49-F238E27FC236}">
              <a16:creationId xmlns:a16="http://schemas.microsoft.com/office/drawing/2014/main" id="{0BA1FE93-BB27-9D21-D933-4FBAF924D3DD}"/>
            </a:ext>
          </a:extLst>
        </cdr:cNvPr>
        <cdr:cNvSpPr/>
      </cdr:nvSpPr>
      <cdr:spPr>
        <a:xfrm xmlns:a="http://schemas.openxmlformats.org/drawingml/2006/main">
          <a:off x="1635127" y="1541639"/>
          <a:ext cx="134055" cy="289277"/>
        </a:xfrm>
        <a:prstGeom xmlns:a="http://schemas.openxmlformats.org/drawingml/2006/main" prst="downArrow">
          <a:avLst>
            <a:gd name="adj1" fmla="val 57692"/>
            <a:gd name="adj2" fmla="val 50000"/>
          </a:avLst>
        </a:prstGeom>
        <a:solidFill xmlns:a="http://schemas.openxmlformats.org/drawingml/2006/main">
          <a:schemeClr val="accent2"/>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0.53488</cdr:x>
      <cdr:y>0.11027</cdr:y>
    </cdr:from>
    <cdr:to>
      <cdr:x>0.7936</cdr:x>
      <cdr:y>0.30296</cdr:y>
    </cdr:to>
    <cdr:sp macro="" textlink="">
      <cdr:nvSpPr>
        <cdr:cNvPr id="3" name="Rectangle: Rounded Corners 2">
          <a:extLst xmlns:a="http://schemas.openxmlformats.org/drawingml/2006/main">
            <a:ext uri="{FF2B5EF4-FFF2-40B4-BE49-F238E27FC236}">
              <a16:creationId xmlns:a16="http://schemas.microsoft.com/office/drawing/2014/main" id="{8D52154D-FACB-8600-20BD-256C83CEAD32}"/>
            </a:ext>
          </a:extLst>
        </cdr:cNvPr>
        <cdr:cNvSpPr/>
      </cdr:nvSpPr>
      <cdr:spPr>
        <a:xfrm xmlns:a="http://schemas.openxmlformats.org/drawingml/2006/main">
          <a:off x="2975682" y="335139"/>
          <a:ext cx="1439334" cy="585612"/>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900" kern="1200"/>
            <a:t>2019</a:t>
          </a:r>
          <a:r>
            <a:rPr lang="en-IN" sz="900" kern="1200" baseline="0"/>
            <a:t> has the most inflation rate which is 1.94% more than 2020. </a:t>
          </a:r>
          <a:endParaRPr lang="en-IN" sz="9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4</xdr:col>
      <xdr:colOff>547267</xdr:colOff>
      <xdr:row>2</xdr:row>
      <xdr:rowOff>142041</xdr:rowOff>
    </xdr:from>
    <xdr:to>
      <xdr:col>13</xdr:col>
      <xdr:colOff>526381</xdr:colOff>
      <xdr:row>22</xdr:row>
      <xdr:rowOff>133685</xdr:rowOff>
    </xdr:to>
    <xdr:graphicFrame macro="">
      <xdr:nvGraphicFramePr>
        <xdr:cNvPr id="11" name="Chart 10">
          <a:extLst>
            <a:ext uri="{FF2B5EF4-FFF2-40B4-BE49-F238E27FC236}">
              <a16:creationId xmlns:a16="http://schemas.microsoft.com/office/drawing/2014/main" id="{67C69382-9433-49A3-AAC2-55C7238F5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0.16293</cdr:x>
      <cdr:y>0.08013</cdr:y>
    </cdr:from>
    <cdr:to>
      <cdr:x>0.33583</cdr:x>
      <cdr:y>0.25654</cdr:y>
    </cdr:to>
    <cdr:sp macro="" textlink="">
      <cdr:nvSpPr>
        <cdr:cNvPr id="2" name="Rectangle: Rounded Corners 1">
          <a:extLst xmlns:a="http://schemas.openxmlformats.org/drawingml/2006/main">
            <a:ext uri="{FF2B5EF4-FFF2-40B4-BE49-F238E27FC236}">
              <a16:creationId xmlns:a16="http://schemas.microsoft.com/office/drawing/2014/main" id="{2134A966-5532-7F82-7AE9-ABE98CBD1595}"/>
            </a:ext>
          </a:extLst>
        </cdr:cNvPr>
        <cdr:cNvSpPr/>
      </cdr:nvSpPr>
      <cdr:spPr>
        <a:xfrm xmlns:a="http://schemas.openxmlformats.org/drawingml/2006/main">
          <a:off x="1088362" y="255746"/>
          <a:ext cx="1155027" cy="563070"/>
        </a:xfrm>
        <a:prstGeom xmlns:a="http://schemas.openxmlformats.org/drawingml/2006/main" prst="roundRect">
          <a:avLst/>
        </a:prstGeom>
      </cdr:spPr>
      <cdr:style>
        <a:lnRef xmlns:a="http://schemas.openxmlformats.org/drawingml/2006/main" idx="3">
          <a:schemeClr val="lt1"/>
        </a:lnRef>
        <a:fillRef xmlns:a="http://schemas.openxmlformats.org/drawingml/2006/main" idx="1">
          <a:schemeClr val="accent1"/>
        </a:fillRef>
        <a:effectRef xmlns:a="http://schemas.openxmlformats.org/drawingml/2006/main" idx="1">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800" kern="1200"/>
            <a:t>June 2022 is having</a:t>
          </a:r>
          <a:r>
            <a:rPr lang="en-IN" sz="800" kern="1200" baseline="0"/>
            <a:t> highest     M-O-M inflation</a:t>
          </a:r>
          <a:endParaRPr lang="en-IN" sz="800" kern="1200"/>
        </a:p>
      </cdr:txBody>
    </cdr:sp>
  </cdr:relSizeAnchor>
  <cdr:relSizeAnchor xmlns:cdr="http://schemas.openxmlformats.org/drawingml/2006/chartDrawing">
    <cdr:from>
      <cdr:x>0.71554</cdr:x>
      <cdr:y>0.44121</cdr:y>
    </cdr:from>
    <cdr:to>
      <cdr:x>0.71807</cdr:x>
      <cdr:y>0.61705</cdr:y>
    </cdr:to>
    <cdr:cxnSp macro="">
      <cdr:nvCxnSpPr>
        <cdr:cNvPr id="3" name="Straight Arrow Connector 2">
          <a:extLst xmlns:a="http://schemas.openxmlformats.org/drawingml/2006/main">
            <a:ext uri="{FF2B5EF4-FFF2-40B4-BE49-F238E27FC236}">
              <a16:creationId xmlns:a16="http://schemas.microsoft.com/office/drawing/2014/main" id="{35706CEE-4A17-BEFF-3E2E-F5BA8FD1C50D}"/>
            </a:ext>
          </a:extLst>
        </cdr:cNvPr>
        <cdr:cNvCxnSpPr/>
      </cdr:nvCxnSpPr>
      <cdr:spPr>
        <a:xfrm xmlns:a="http://schemas.openxmlformats.org/drawingml/2006/main" flipH="1">
          <a:off x="4779810" y="1408217"/>
          <a:ext cx="16889" cy="561221"/>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0.10992</cdr:x>
      <cdr:y>0.16773</cdr:y>
    </cdr:from>
    <cdr:to>
      <cdr:x>0.158</cdr:x>
      <cdr:y>0.21447</cdr:y>
    </cdr:to>
    <cdr:cxnSp macro="">
      <cdr:nvCxnSpPr>
        <cdr:cNvPr id="5" name="Straight Arrow Connector 4">
          <a:extLst xmlns:a="http://schemas.openxmlformats.org/drawingml/2006/main">
            <a:ext uri="{FF2B5EF4-FFF2-40B4-BE49-F238E27FC236}">
              <a16:creationId xmlns:a16="http://schemas.microsoft.com/office/drawing/2014/main" id="{35706CEE-4A17-BEFF-3E2E-F5BA8FD1C50D}"/>
            </a:ext>
          </a:extLst>
        </cdr:cNvPr>
        <cdr:cNvCxnSpPr/>
      </cdr:nvCxnSpPr>
      <cdr:spPr>
        <a:xfrm xmlns:a="http://schemas.openxmlformats.org/drawingml/2006/main" flipH="1">
          <a:off x="734289" y="535356"/>
          <a:ext cx="321156" cy="14918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0.64431</cdr:x>
      <cdr:y>0.26812</cdr:y>
    </cdr:from>
    <cdr:to>
      <cdr:x>0.82239</cdr:x>
      <cdr:y>0.43717</cdr:y>
    </cdr:to>
    <cdr:sp macro="" textlink="">
      <cdr:nvSpPr>
        <cdr:cNvPr id="6" name="Rectangle: Rounded Corners 5">
          <a:extLst xmlns:a="http://schemas.openxmlformats.org/drawingml/2006/main">
            <a:ext uri="{FF2B5EF4-FFF2-40B4-BE49-F238E27FC236}">
              <a16:creationId xmlns:a16="http://schemas.microsoft.com/office/drawing/2014/main" id="{6305B2BE-362E-2341-227C-1695CCBBADD1}"/>
            </a:ext>
          </a:extLst>
        </cdr:cNvPr>
        <cdr:cNvSpPr/>
      </cdr:nvSpPr>
      <cdr:spPr>
        <a:xfrm xmlns:a="http://schemas.openxmlformats.org/drawingml/2006/main">
          <a:off x="4304006" y="855754"/>
          <a:ext cx="1189582" cy="539575"/>
        </a:xfrm>
        <a:prstGeom xmlns:a="http://schemas.openxmlformats.org/drawingml/2006/main" prst="roundRect">
          <a:avLst/>
        </a:prstGeom>
      </cdr:spPr>
      <cdr:style>
        <a:lnRef xmlns:a="http://schemas.openxmlformats.org/drawingml/2006/main" idx="3">
          <a:schemeClr val="lt1"/>
        </a:lnRef>
        <a:fillRef xmlns:a="http://schemas.openxmlformats.org/drawingml/2006/main" idx="1">
          <a:schemeClr val="accent1"/>
        </a:fillRef>
        <a:effectRef xmlns:a="http://schemas.openxmlformats.org/drawingml/2006/main" idx="1">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sz="800" kern="1200"/>
            <a:t>Feb 2023 is having</a:t>
          </a:r>
          <a:r>
            <a:rPr lang="en-IN" sz="800" kern="1200" baseline="0"/>
            <a:t> least   M-O-M inflation</a:t>
          </a:r>
          <a:endParaRPr lang="en-IN" sz="800" kern="1200"/>
        </a:p>
      </cdr:txBody>
    </cdr:sp>
  </cdr:relSizeAnchor>
</c:userShapes>
</file>

<file path=xl/drawings/drawing7.xml><?xml version="1.0" encoding="utf-8"?>
<xdr:wsDr xmlns:xdr="http://schemas.openxmlformats.org/drawingml/2006/spreadsheetDrawing" xmlns:a="http://schemas.openxmlformats.org/drawingml/2006/main">
  <xdr:twoCellAnchor>
    <xdr:from>
      <xdr:col>6</xdr:col>
      <xdr:colOff>611037</xdr:colOff>
      <xdr:row>29</xdr:row>
      <xdr:rowOff>0</xdr:rowOff>
    </xdr:from>
    <xdr:to>
      <xdr:col>12</xdr:col>
      <xdr:colOff>41934</xdr:colOff>
      <xdr:row>51</xdr:row>
      <xdr:rowOff>137783</xdr:rowOff>
    </xdr:to>
    <xdr:graphicFrame macro="">
      <xdr:nvGraphicFramePr>
        <xdr:cNvPr id="6" name="Chart 5">
          <a:extLst>
            <a:ext uri="{FF2B5EF4-FFF2-40B4-BE49-F238E27FC236}">
              <a16:creationId xmlns:a16="http://schemas.microsoft.com/office/drawing/2014/main" id="{364ECF85-7009-4BEB-9CD0-2E9D1F15F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611037</xdr:colOff>
      <xdr:row>28</xdr:row>
      <xdr:rowOff>143774</xdr:rowOff>
    </xdr:from>
    <xdr:to>
      <xdr:col>6</xdr:col>
      <xdr:colOff>47923</xdr:colOff>
      <xdr:row>51</xdr:row>
      <xdr:rowOff>125802</xdr:rowOff>
    </xdr:to>
    <xdr:graphicFrame macro="">
      <xdr:nvGraphicFramePr>
        <xdr:cNvPr id="8" name="Chart 7">
          <a:extLst>
            <a:ext uri="{FF2B5EF4-FFF2-40B4-BE49-F238E27FC236}">
              <a16:creationId xmlns:a16="http://schemas.microsoft.com/office/drawing/2014/main" id="{1BB122E6-3D12-44E2-90B7-0FFE040B1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1380787</xdr:colOff>
      <xdr:row>41</xdr:row>
      <xdr:rowOff>70255</xdr:rowOff>
    </xdr:from>
    <xdr:to>
      <xdr:col>10</xdr:col>
      <xdr:colOff>1499680</xdr:colOff>
      <xdr:row>41</xdr:row>
      <xdr:rowOff>154054</xdr:rowOff>
    </xdr:to>
    <xdr:sp macro="" textlink="">
      <xdr:nvSpPr>
        <xdr:cNvPr id="4" name="Rectangle 3">
          <a:extLst>
            <a:ext uri="{FF2B5EF4-FFF2-40B4-BE49-F238E27FC236}">
              <a16:creationId xmlns:a16="http://schemas.microsoft.com/office/drawing/2014/main" id="{7BB0CCA0-AFA2-AB51-0299-C39FAA1F11D5}"/>
            </a:ext>
          </a:extLst>
        </xdr:cNvPr>
        <xdr:cNvSpPr/>
      </xdr:nvSpPr>
      <xdr:spPr>
        <a:xfrm>
          <a:off x="11359744" y="6676957"/>
          <a:ext cx="118893" cy="83799"/>
        </a:xfrm>
        <a:prstGeom prst="rect">
          <a:avLst/>
        </a:prstGeom>
        <a:no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676159</xdr:colOff>
      <xdr:row>32</xdr:row>
      <xdr:rowOff>64676</xdr:rowOff>
    </xdr:from>
    <xdr:to>
      <xdr:col>3</xdr:col>
      <xdr:colOff>1193564</xdr:colOff>
      <xdr:row>33</xdr:row>
      <xdr:rowOff>141114</xdr:rowOff>
    </xdr:to>
    <xdr:cxnSp macro="">
      <xdr:nvCxnSpPr>
        <xdr:cNvPr id="7" name="Connector: Elbow 6">
          <a:extLst>
            <a:ext uri="{FF2B5EF4-FFF2-40B4-BE49-F238E27FC236}">
              <a16:creationId xmlns:a16="http://schemas.microsoft.com/office/drawing/2014/main" id="{70D0E9D6-8B8E-A658-09F7-A29DEF78027B}"/>
            </a:ext>
          </a:extLst>
        </xdr:cNvPr>
        <xdr:cNvCxnSpPr/>
      </xdr:nvCxnSpPr>
      <xdr:spPr>
        <a:xfrm flipV="1">
          <a:off x="2728150" y="5215232"/>
          <a:ext cx="517405" cy="235188"/>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c:userShapes xmlns:c="http://schemas.openxmlformats.org/drawingml/2006/chart">
  <cdr:relSizeAnchor xmlns:cdr="http://schemas.openxmlformats.org/drawingml/2006/chartDrawing">
    <cdr:from>
      <cdr:x>0.12816</cdr:x>
      <cdr:y>0.25144</cdr:y>
    </cdr:from>
    <cdr:to>
      <cdr:x>0.22499</cdr:x>
      <cdr:y>0.30884</cdr:y>
    </cdr:to>
    <cdr:cxnSp macro="">
      <cdr:nvCxnSpPr>
        <cdr:cNvPr id="3" name="Connector: Elbow 2">
          <a:extLst xmlns:a="http://schemas.openxmlformats.org/drawingml/2006/main">
            <a:ext uri="{FF2B5EF4-FFF2-40B4-BE49-F238E27FC236}">
              <a16:creationId xmlns:a16="http://schemas.microsoft.com/office/drawing/2014/main" id="{D2E868F9-2EE5-CF9C-A675-4EF1E18017A1}"/>
            </a:ext>
          </a:extLst>
        </cdr:cNvPr>
        <cdr:cNvCxnSpPr/>
      </cdr:nvCxnSpPr>
      <cdr:spPr>
        <a:xfrm xmlns:a="http://schemas.openxmlformats.org/drawingml/2006/main">
          <a:off x="787947" y="912813"/>
          <a:ext cx="595313" cy="208359"/>
        </a:xfrm>
        <a:prstGeom xmlns:a="http://schemas.openxmlformats.org/drawingml/2006/main" prst="bentConnector3">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0.23306</cdr:x>
      <cdr:y>0.17244</cdr:y>
    </cdr:from>
    <cdr:to>
      <cdr:x>0.50358</cdr:x>
      <cdr:y>0.46011</cdr:y>
    </cdr:to>
    <cdr:sp macro="" textlink="">
      <cdr:nvSpPr>
        <cdr:cNvPr id="4" name="Rectangle: Rounded Corners 3">
          <a:extLst xmlns:a="http://schemas.openxmlformats.org/drawingml/2006/main">
            <a:ext uri="{FF2B5EF4-FFF2-40B4-BE49-F238E27FC236}">
              <a16:creationId xmlns:a16="http://schemas.microsoft.com/office/drawing/2014/main" id="{53A9DA01-47F2-0458-D638-2AE0E1D109C6}"/>
            </a:ext>
          </a:extLst>
        </cdr:cNvPr>
        <cdr:cNvSpPr/>
      </cdr:nvSpPr>
      <cdr:spPr>
        <a:xfrm xmlns:a="http://schemas.openxmlformats.org/drawingml/2006/main">
          <a:off x="1435785" y="626010"/>
          <a:ext cx="1666547" cy="1044315"/>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Food</a:t>
          </a:r>
          <a:r>
            <a:rPr lang="en-IN" kern="1200" baseline="0"/>
            <a:t> items</a:t>
          </a:r>
          <a:r>
            <a:rPr lang="en-IN" kern="1200"/>
            <a:t> have the most inflation rate with 15.50% due to sudden</a:t>
          </a:r>
          <a:r>
            <a:rPr lang="en-IN" kern="1200" baseline="0"/>
            <a:t> cases of COVID.</a:t>
          </a:r>
          <a:endParaRPr lang="en-IN" kern="1200"/>
        </a:p>
      </cdr:txBody>
    </cdr:sp>
  </cdr:relSizeAnchor>
  <cdr:relSizeAnchor xmlns:cdr="http://schemas.openxmlformats.org/drawingml/2006/chartDrawing">
    <cdr:from>
      <cdr:x>0.79858</cdr:x>
      <cdr:y>0.54485</cdr:y>
    </cdr:from>
    <cdr:to>
      <cdr:x>0.81655</cdr:x>
      <cdr:y>0.56789</cdr:y>
    </cdr:to>
    <cdr:sp macro="" textlink="">
      <cdr:nvSpPr>
        <cdr:cNvPr id="5" name="Rectangle 4">
          <a:extLst xmlns:a="http://schemas.openxmlformats.org/drawingml/2006/main">
            <a:ext uri="{FF2B5EF4-FFF2-40B4-BE49-F238E27FC236}">
              <a16:creationId xmlns:a16="http://schemas.microsoft.com/office/drawing/2014/main" id="{7BB0CCA0-AFA2-AB51-0299-C39FAA1F11D5}"/>
            </a:ext>
          </a:extLst>
        </cdr:cNvPr>
        <cdr:cNvSpPr/>
      </cdr:nvSpPr>
      <cdr:spPr>
        <a:xfrm xmlns:a="http://schemas.openxmlformats.org/drawingml/2006/main">
          <a:off x="4922919" y="1986064"/>
          <a:ext cx="110787" cy="83988"/>
        </a:xfrm>
        <a:prstGeom xmlns:a="http://schemas.openxmlformats.org/drawingml/2006/main" prst="rect">
          <a:avLst/>
        </a:prstGeom>
        <a:noFill xmlns:a="http://schemas.openxmlformats.org/drawingml/2006/main"/>
        <a:ln xmlns:a="http://schemas.openxmlformats.org/drawingml/2006/main">
          <a:solidFill>
            <a:schemeClr val="tx2">
              <a:lumMod val="75000"/>
              <a:lumOff val="2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dr:relSizeAnchor xmlns:cdr="http://schemas.openxmlformats.org/drawingml/2006/chartDrawing">
    <cdr:from>
      <cdr:x>0.83653</cdr:x>
      <cdr:y>0.54296</cdr:y>
    </cdr:from>
    <cdr:to>
      <cdr:x>0.8545</cdr:x>
      <cdr:y>0.566</cdr:y>
    </cdr:to>
    <cdr:sp macro="" textlink="">
      <cdr:nvSpPr>
        <cdr:cNvPr id="6" name="Rectangle 5">
          <a:extLst xmlns:a="http://schemas.openxmlformats.org/drawingml/2006/main">
            <a:ext uri="{FF2B5EF4-FFF2-40B4-BE49-F238E27FC236}">
              <a16:creationId xmlns:a16="http://schemas.microsoft.com/office/drawing/2014/main" id="{C15F89EE-6D05-F9AF-1B57-4D900B6B7934}"/>
            </a:ext>
          </a:extLst>
        </cdr:cNvPr>
        <cdr:cNvSpPr/>
      </cdr:nvSpPr>
      <cdr:spPr>
        <a:xfrm xmlns:a="http://schemas.openxmlformats.org/drawingml/2006/main">
          <a:off x="5150092" y="1971081"/>
          <a:ext cx="110641" cy="83645"/>
        </a:xfrm>
        <a:prstGeom xmlns:a="http://schemas.openxmlformats.org/drawingml/2006/main" prst="rect">
          <a:avLst/>
        </a:prstGeom>
        <a:noFill xmlns:a="http://schemas.openxmlformats.org/drawingml/2006/main"/>
        <a:ln xmlns:a="http://schemas.openxmlformats.org/drawingml/2006/main">
          <a:solidFill>
            <a:schemeClr val="tx2">
              <a:lumMod val="75000"/>
              <a:lumOff val="2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dr:relSizeAnchor xmlns:cdr="http://schemas.openxmlformats.org/drawingml/2006/chartDrawing">
    <cdr:from>
      <cdr:x>0.80766</cdr:x>
      <cdr:y>0.43623</cdr:y>
    </cdr:from>
    <cdr:to>
      <cdr:x>0.84602</cdr:x>
      <cdr:y>0.53862</cdr:y>
    </cdr:to>
    <cdr:cxnSp macro="">
      <cdr:nvCxnSpPr>
        <cdr:cNvPr id="8" name="Connector: Elbow 7">
          <a:extLst xmlns:a="http://schemas.openxmlformats.org/drawingml/2006/main">
            <a:ext uri="{FF2B5EF4-FFF2-40B4-BE49-F238E27FC236}">
              <a16:creationId xmlns:a16="http://schemas.microsoft.com/office/drawing/2014/main" id="{ED47B16A-CEEA-8691-D31F-F1CFF80341B9}"/>
            </a:ext>
          </a:extLst>
        </cdr:cNvPr>
        <cdr:cNvCxnSpPr/>
      </cdr:nvCxnSpPr>
      <cdr:spPr>
        <a:xfrm xmlns:a="http://schemas.openxmlformats.org/drawingml/2006/main" rot="16200000" flipH="1">
          <a:off x="4904559" y="1651389"/>
          <a:ext cx="371708" cy="236189"/>
        </a:xfrm>
        <a:prstGeom xmlns:a="http://schemas.openxmlformats.org/drawingml/2006/main" prst="bentConnector3">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0.76741</cdr:x>
      <cdr:y>0.43742</cdr:y>
    </cdr:from>
    <cdr:to>
      <cdr:x>0.79944</cdr:x>
      <cdr:y>0.53649</cdr:y>
    </cdr:to>
    <cdr:cxnSp macro="">
      <cdr:nvCxnSpPr>
        <cdr:cNvPr id="9" name="Connector: Elbow 8">
          <a:extLst xmlns:a="http://schemas.openxmlformats.org/drawingml/2006/main">
            <a:ext uri="{FF2B5EF4-FFF2-40B4-BE49-F238E27FC236}">
              <a16:creationId xmlns:a16="http://schemas.microsoft.com/office/drawing/2014/main" id="{3C23C5D3-D9D1-37AD-EBB4-4A33137C1123}"/>
            </a:ext>
          </a:extLst>
        </cdr:cNvPr>
        <cdr:cNvCxnSpPr/>
      </cdr:nvCxnSpPr>
      <cdr:spPr>
        <a:xfrm xmlns:a="http://schemas.openxmlformats.org/drawingml/2006/main" rot="5400000">
          <a:off x="4643301" y="1669178"/>
          <a:ext cx="359627" cy="197205"/>
        </a:xfrm>
        <a:prstGeom xmlns:a="http://schemas.openxmlformats.org/drawingml/2006/main" prst="bentConnector3">
          <a:avLst>
            <a:gd name="adj1" fmla="val 50000"/>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0.71413</cdr:x>
      <cdr:y>0.19099</cdr:y>
    </cdr:from>
    <cdr:to>
      <cdr:x>0.89023</cdr:x>
      <cdr:y>0.4299</cdr:y>
    </cdr:to>
    <cdr:sp macro="" textlink="">
      <cdr:nvSpPr>
        <cdr:cNvPr id="15" name="Rectangle: Rounded Corners 14">
          <a:extLst xmlns:a="http://schemas.openxmlformats.org/drawingml/2006/main">
            <a:ext uri="{FF2B5EF4-FFF2-40B4-BE49-F238E27FC236}">
              <a16:creationId xmlns:a16="http://schemas.microsoft.com/office/drawing/2014/main" id="{8AF39657-53FD-22CE-2177-6F2E5CE2A2B1}"/>
            </a:ext>
          </a:extLst>
        </cdr:cNvPr>
        <cdr:cNvSpPr/>
      </cdr:nvSpPr>
      <cdr:spPr>
        <a:xfrm xmlns:a="http://schemas.openxmlformats.org/drawingml/2006/main">
          <a:off x="4408636" y="705476"/>
          <a:ext cx="1087134" cy="882489"/>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800" kern="1200"/>
            <a:t>Healthcare</a:t>
          </a:r>
          <a:r>
            <a:rPr lang="en-IN" sz="800" kern="1200" baseline="0"/>
            <a:t> and essential items have slight changes as compared to food items.</a:t>
          </a:r>
          <a:endParaRPr lang="en-IN" sz="800" kern="1200"/>
        </a:p>
      </cdr:txBody>
    </cdr:sp>
  </cdr:relSizeAnchor>
</c:userShapes>
</file>

<file path=xl/drawings/drawing9.xml><?xml version="1.0" encoding="utf-8"?>
<c:userShapes xmlns:c="http://schemas.openxmlformats.org/drawingml/2006/chart">
  <cdr:relSizeAnchor xmlns:cdr="http://schemas.openxmlformats.org/drawingml/2006/chartDrawing">
    <cdr:from>
      <cdr:x>0.48232</cdr:x>
      <cdr:y>0.08989</cdr:y>
    </cdr:from>
    <cdr:to>
      <cdr:x>0.81913</cdr:x>
      <cdr:y>0.30027</cdr:y>
    </cdr:to>
    <cdr:sp macro="" textlink="">
      <cdr:nvSpPr>
        <cdr:cNvPr id="2" name="Rectangle: Rounded Corners 1">
          <a:extLst xmlns:a="http://schemas.openxmlformats.org/drawingml/2006/main">
            <a:ext uri="{FF2B5EF4-FFF2-40B4-BE49-F238E27FC236}">
              <a16:creationId xmlns:a16="http://schemas.microsoft.com/office/drawing/2014/main" id="{F92BA847-750E-1E0F-104B-DE5AE51635BE}"/>
            </a:ext>
          </a:extLst>
        </cdr:cNvPr>
        <cdr:cNvSpPr/>
      </cdr:nvSpPr>
      <cdr:spPr>
        <a:xfrm xmlns:a="http://schemas.openxmlformats.org/drawingml/2006/main">
          <a:off x="2652157" y="326596"/>
          <a:ext cx="1852084" cy="764352"/>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800" kern="1200"/>
            <a:t>Healthcare</a:t>
          </a:r>
          <a:r>
            <a:rPr lang="en-IN" sz="800" kern="1200" baseline="0"/>
            <a:t> sector has the most inflation rate than the other two sector before march 2020 inflation in the healthcare sector was more but after march 2020 it decreases.</a:t>
          </a:r>
          <a:endParaRPr lang="en-IN" sz="800" kern="1200"/>
        </a:p>
      </cdr:txBody>
    </cdr:sp>
  </cdr:relSizeAnchor>
</c:userShapes>
</file>

<file path=xl/drawings/drawing10.xml><?xml version="1.0" encoding="utf-8"?>
<xdr:wsDr xmlns:xdr="http://schemas.openxmlformats.org/drawingml/2006/spreadsheetDrawing" xmlns:a="http://schemas.openxmlformats.org/drawingml/2006/main">
  <xdr:twoCellAnchor>
    <xdr:from>
      <xdr:col>12</xdr:col>
      <xdr:colOff>452034</xdr:colOff>
      <xdr:row>3</xdr:row>
      <xdr:rowOff>75338</xdr:rowOff>
    </xdr:from>
    <xdr:to>
      <xdr:col>26</xdr:col>
      <xdr:colOff>79375</xdr:colOff>
      <xdr:row>32</xdr:row>
      <xdr:rowOff>19843</xdr:rowOff>
    </xdr:to>
    <xdr:graphicFrame macro="">
      <xdr:nvGraphicFramePr>
        <xdr:cNvPr id="4" name="Chart 3">
          <a:extLst>
            <a:ext uri="{FF2B5EF4-FFF2-40B4-BE49-F238E27FC236}">
              <a16:creationId xmlns:a16="http://schemas.microsoft.com/office/drawing/2014/main" id="{D16F7DB1-CB78-44F1-AC88-47490A4C3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0.81409</cdr:x>
      <cdr:y>0.22019</cdr:y>
    </cdr:from>
    <cdr:to>
      <cdr:x>0.85534</cdr:x>
      <cdr:y>0.31235</cdr:y>
    </cdr:to>
    <cdr:cxnSp macro="">
      <cdr:nvCxnSpPr>
        <cdr:cNvPr id="3" name="Connector: Elbow 2">
          <a:extLst xmlns:a="http://schemas.openxmlformats.org/drawingml/2006/main">
            <a:ext uri="{FF2B5EF4-FFF2-40B4-BE49-F238E27FC236}">
              <a16:creationId xmlns:a16="http://schemas.microsoft.com/office/drawing/2014/main" id="{FEE455B3-0440-D735-38E2-FA2450E3002E}"/>
            </a:ext>
          </a:extLst>
        </cdr:cNvPr>
        <cdr:cNvCxnSpPr/>
      </cdr:nvCxnSpPr>
      <cdr:spPr>
        <a:xfrm xmlns:a="http://schemas.openxmlformats.org/drawingml/2006/main" rot="16200000" flipV="1">
          <a:off x="6573787" y="1090341"/>
          <a:ext cx="435429" cy="335643"/>
        </a:xfrm>
        <a:prstGeom xmlns:a="http://schemas.openxmlformats.org/drawingml/2006/main" prst="bentConnector3">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0.73604</cdr:x>
      <cdr:y>0.1146</cdr:y>
    </cdr:from>
    <cdr:to>
      <cdr:x>0.90105</cdr:x>
      <cdr:y>0.21827</cdr:y>
    </cdr:to>
    <cdr:sp macro="" textlink="">
      <cdr:nvSpPr>
        <cdr:cNvPr id="4" name="Rectangle: Rounded Corners 3">
          <a:extLst xmlns:a="http://schemas.openxmlformats.org/drawingml/2006/main">
            <a:ext uri="{FF2B5EF4-FFF2-40B4-BE49-F238E27FC236}">
              <a16:creationId xmlns:a16="http://schemas.microsoft.com/office/drawing/2014/main" id="{AA626618-2CED-0C74-04B9-34A39DD2CA18}"/>
            </a:ext>
          </a:extLst>
        </cdr:cNvPr>
        <cdr:cNvSpPr/>
      </cdr:nvSpPr>
      <cdr:spPr>
        <a:xfrm xmlns:a="http://schemas.openxmlformats.org/drawingml/2006/main">
          <a:off x="5988680" y="541519"/>
          <a:ext cx="1342571" cy="489857"/>
        </a:xfrm>
        <a:prstGeom xmlns:a="http://schemas.openxmlformats.org/drawingml/2006/main" prst="roundRect">
          <a:avLst/>
        </a:prstGeom>
        <a:solidFill xmlns:a="http://schemas.openxmlformats.org/drawingml/2006/main">
          <a:schemeClr val="tx2">
            <a:lumMod val="50000"/>
            <a:lumOff val="50000"/>
          </a:schemeClr>
        </a:solidFill>
      </cdr:spPr>
      <cdr:style>
        <a:lnRef xmlns:a="http://schemas.openxmlformats.org/drawingml/2006/main" idx="1">
          <a:schemeClr val="accent1"/>
        </a:lnRef>
        <a:fillRef xmlns:a="http://schemas.openxmlformats.org/drawingml/2006/main" idx="2">
          <a:schemeClr val="accent1"/>
        </a:fillRef>
        <a:effectRef xmlns:a="http://schemas.openxmlformats.org/drawingml/2006/main" idx="1">
          <a:schemeClr val="accent1"/>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IN" sz="1000" kern="1200"/>
            <a:t>Highest correlation but</a:t>
          </a:r>
          <a:r>
            <a:rPr lang="en-IN" sz="1000" kern="1200" baseline="0"/>
            <a:t> still weak.</a:t>
          </a:r>
          <a:endParaRPr lang="en-IN" sz="1000" kern="1200"/>
        </a:p>
      </cdr:txBody>
    </cdr:sp>
  </cdr:relSizeAnchor>
  <cdr:relSizeAnchor xmlns:cdr="http://schemas.openxmlformats.org/drawingml/2006/chartDrawing">
    <cdr:from>
      <cdr:x>0.1429</cdr:x>
      <cdr:y>0.63679</cdr:y>
    </cdr:from>
    <cdr:to>
      <cdr:x>0.43947</cdr:x>
      <cdr:y>0.74238</cdr:y>
    </cdr:to>
    <cdr:sp macro="" textlink="">
      <cdr:nvSpPr>
        <cdr:cNvPr id="5" name="Rectangle: Rounded Corners 4">
          <a:extLst xmlns:a="http://schemas.openxmlformats.org/drawingml/2006/main">
            <a:ext uri="{FF2B5EF4-FFF2-40B4-BE49-F238E27FC236}">
              <a16:creationId xmlns:a16="http://schemas.microsoft.com/office/drawing/2014/main" id="{29760809-9D34-CE5A-93A7-6D0AC0608E35}"/>
            </a:ext>
          </a:extLst>
        </cdr:cNvPr>
        <cdr:cNvSpPr/>
      </cdr:nvSpPr>
      <cdr:spPr>
        <a:xfrm xmlns:a="http://schemas.openxmlformats.org/drawingml/2006/main">
          <a:off x="1162680" y="3008948"/>
          <a:ext cx="2413000" cy="498928"/>
        </a:xfrm>
        <a:prstGeom xmlns:a="http://schemas.openxmlformats.org/drawingml/2006/main" prst="round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0.11726</cdr:x>
      <cdr:y>0.53888</cdr:y>
    </cdr:from>
    <cdr:to>
      <cdr:x>0.17412</cdr:x>
      <cdr:y>0.63487</cdr:y>
    </cdr:to>
    <cdr:cxnSp macro="">
      <cdr:nvCxnSpPr>
        <cdr:cNvPr id="8" name="Straight Arrow Connector 7">
          <a:extLst xmlns:a="http://schemas.openxmlformats.org/drawingml/2006/main">
            <a:ext uri="{FF2B5EF4-FFF2-40B4-BE49-F238E27FC236}">
              <a16:creationId xmlns:a16="http://schemas.microsoft.com/office/drawing/2014/main" id="{2A942244-DE16-7E0D-02FE-A2D4B92CED85}"/>
            </a:ext>
          </a:extLst>
        </cdr:cNvPr>
        <cdr:cNvCxnSpPr/>
      </cdr:nvCxnSpPr>
      <cdr:spPr>
        <a:xfrm xmlns:a="http://schemas.openxmlformats.org/drawingml/2006/main" flipH="1" flipV="1">
          <a:off x="954037" y="2546305"/>
          <a:ext cx="462643" cy="453571"/>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0.00019</cdr:x>
      <cdr:y>0.30083</cdr:y>
    </cdr:from>
    <cdr:to>
      <cdr:x>0.24882</cdr:x>
      <cdr:y>0.53312</cdr:y>
    </cdr:to>
    <cdr:sp macro="" textlink="">
      <cdr:nvSpPr>
        <cdr:cNvPr id="9" name="Speech Bubble: Oval 8">
          <a:extLst xmlns:a="http://schemas.openxmlformats.org/drawingml/2006/main">
            <a:ext uri="{FF2B5EF4-FFF2-40B4-BE49-F238E27FC236}">
              <a16:creationId xmlns:a16="http://schemas.microsoft.com/office/drawing/2014/main" id="{2DEE130B-62AA-BB72-2F50-8793BB3CF7A1}"/>
            </a:ext>
          </a:extLst>
        </cdr:cNvPr>
        <cdr:cNvSpPr/>
      </cdr:nvSpPr>
      <cdr:spPr>
        <a:xfrm xmlns:a="http://schemas.openxmlformats.org/drawingml/2006/main">
          <a:off x="1537" y="1421448"/>
          <a:ext cx="2022929" cy="1097643"/>
        </a:xfrm>
        <a:prstGeom xmlns:a="http://schemas.openxmlformats.org/drawingml/2006/main" prst="wedgeEllipseCallout">
          <a:avLst/>
        </a:prstGeom>
        <a:solidFill xmlns:a="http://schemas.openxmlformats.org/drawingml/2006/main">
          <a:schemeClr val="tx2">
            <a:lumMod val="50000"/>
            <a:lumOff val="5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solidFill>
                <a:sysClr val="windowText" lastClr="000000"/>
              </a:solidFill>
            </a:rPr>
            <a:t>Weakest</a:t>
          </a:r>
          <a:r>
            <a:rPr lang="en-IN" kern="1200" baseline="0">
              <a:solidFill>
                <a:sysClr val="windowText" lastClr="000000"/>
              </a:solidFill>
            </a:rPr>
            <a:t> correlation, no or slight changes will be there. </a:t>
          </a:r>
          <a:endParaRPr lang="en-IN" kern="1200">
            <a:solidFill>
              <a:sysClr val="windowText" lastClr="000000"/>
            </a:solidFill>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2</xdr:col>
      <xdr:colOff>158750</xdr:colOff>
      <xdr:row>2</xdr:row>
      <xdr:rowOff>0</xdr:rowOff>
    </xdr:from>
    <xdr:to>
      <xdr:col>8</xdr:col>
      <xdr:colOff>584200</xdr:colOff>
      <xdr:row>9</xdr:row>
      <xdr:rowOff>139700</xdr:rowOff>
    </xdr:to>
    <xdr:graphicFrame macro="">
      <xdr:nvGraphicFramePr>
        <xdr:cNvPr id="2" name="Chart 1">
          <a:extLst>
            <a:ext uri="{FF2B5EF4-FFF2-40B4-BE49-F238E27FC236}">
              <a16:creationId xmlns:a16="http://schemas.microsoft.com/office/drawing/2014/main" id="{355FA7EA-6575-F717-CE6F-77FDDA0A1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16</xdr:row>
      <xdr:rowOff>101600</xdr:rowOff>
    </xdr:from>
    <xdr:to>
      <xdr:col>13</xdr:col>
      <xdr:colOff>355600</xdr:colOff>
      <xdr:row>30</xdr:row>
      <xdr:rowOff>146050</xdr:rowOff>
    </xdr:to>
    <xdr:graphicFrame macro="">
      <xdr:nvGraphicFramePr>
        <xdr:cNvPr id="3" name="Chart 2">
          <a:extLst>
            <a:ext uri="{FF2B5EF4-FFF2-40B4-BE49-F238E27FC236}">
              <a16:creationId xmlns:a16="http://schemas.microsoft.com/office/drawing/2014/main" id="{55290698-2AC0-D469-7D58-3C34C86F4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295275</xdr:colOff>
      <xdr:row>27</xdr:row>
      <xdr:rowOff>120650</xdr:rowOff>
    </xdr:from>
    <xdr:to>
      <xdr:col>18</xdr:col>
      <xdr:colOff>47625</xdr:colOff>
      <xdr:row>44</xdr:row>
      <xdr:rowOff>88900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707CF17-7119-BAAA-002E-6ECAF0396B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289675" y="44069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5</xdr:row>
      <xdr:rowOff>31750</xdr:rowOff>
    </xdr:from>
    <xdr:to>
      <xdr:col>12</xdr:col>
      <xdr:colOff>31750</xdr:colOff>
      <xdr:row>17</xdr:row>
      <xdr:rowOff>114300</xdr:rowOff>
    </xdr:to>
    <xdr:graphicFrame macro="">
      <xdr:nvGraphicFramePr>
        <xdr:cNvPr id="3" name="Chart 2">
          <a:extLst>
            <a:ext uri="{FF2B5EF4-FFF2-40B4-BE49-F238E27FC236}">
              <a16:creationId xmlns:a16="http://schemas.microsoft.com/office/drawing/2014/main" id="{3E659CF9-7CA9-4176-A051-4127D070C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19</xdr:row>
      <xdr:rowOff>6350</xdr:rowOff>
    </xdr:from>
    <xdr:to>
      <xdr:col>12</xdr:col>
      <xdr:colOff>38101</xdr:colOff>
      <xdr:row>37</xdr:row>
      <xdr:rowOff>115037</xdr:rowOff>
    </xdr:to>
    <xdr:graphicFrame macro="">
      <xdr:nvGraphicFramePr>
        <xdr:cNvPr id="4" name="Chart 3">
          <a:extLst>
            <a:ext uri="{FF2B5EF4-FFF2-40B4-BE49-F238E27FC236}">
              <a16:creationId xmlns:a16="http://schemas.microsoft.com/office/drawing/2014/main" id="{CFF4A7E0-824F-4D3A-86D9-7DA9FF6C6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267367</xdr:colOff>
      <xdr:row>19</xdr:row>
      <xdr:rowOff>22281</xdr:rowOff>
    </xdr:from>
    <xdr:to>
      <xdr:col>22</xdr:col>
      <xdr:colOff>601578</xdr:colOff>
      <xdr:row>37</xdr:row>
      <xdr:rowOff>122545</xdr:rowOff>
    </xdr:to>
    <xdr:graphicFrame macro="">
      <xdr:nvGraphicFramePr>
        <xdr:cNvPr id="5" name="Chart 4">
          <a:extLst>
            <a:ext uri="{FF2B5EF4-FFF2-40B4-BE49-F238E27FC236}">
              <a16:creationId xmlns:a16="http://schemas.microsoft.com/office/drawing/2014/main" id="{22A710A4-F54E-4B57-AF6D-4668030C3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0</xdr:rowOff>
    </xdr:from>
    <xdr:to>
      <xdr:col>12</xdr:col>
      <xdr:colOff>44561</xdr:colOff>
      <xdr:row>56</xdr:row>
      <xdr:rowOff>91797</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65517265-21A5-42A9-8989-1DC9F33F13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6082632"/>
              <a:ext cx="6015789"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289649</xdr:colOff>
      <xdr:row>38</xdr:row>
      <xdr:rowOff>133685</xdr:rowOff>
    </xdr:from>
    <xdr:to>
      <xdr:col>23</xdr:col>
      <xdr:colOff>0</xdr:colOff>
      <xdr:row>56</xdr:row>
      <xdr:rowOff>100263</xdr:rowOff>
    </xdr:to>
    <xdr:graphicFrame macro="">
      <xdr:nvGraphicFramePr>
        <xdr:cNvPr id="7" name="Chart 6">
          <a:extLst>
            <a:ext uri="{FF2B5EF4-FFF2-40B4-BE49-F238E27FC236}">
              <a16:creationId xmlns:a16="http://schemas.microsoft.com/office/drawing/2014/main" id="{E0A1BFD3-D36D-4242-A67C-379AEB097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207091</xdr:colOff>
      <xdr:row>5</xdr:row>
      <xdr:rowOff>20483</xdr:rowOff>
    </xdr:from>
    <xdr:to>
      <xdr:col>15</xdr:col>
      <xdr:colOff>122903</xdr:colOff>
      <xdr:row>13</xdr:row>
      <xdr:rowOff>15875</xdr:rowOff>
    </xdr:to>
    <mc:AlternateContent xmlns:mc="http://schemas.openxmlformats.org/markup-compatibility/2006">
      <mc:Choice xmlns:a14="http://schemas.microsoft.com/office/drawing/2010/main" Requires="a14">
        <xdr:graphicFrame macro="">
          <xdr:nvGraphicFramePr>
            <xdr:cNvPr id="9" name="Sector">
              <a:extLst>
                <a:ext uri="{FF2B5EF4-FFF2-40B4-BE49-F238E27FC236}">
                  <a16:creationId xmlns:a16="http://schemas.microsoft.com/office/drawing/2014/main" id="{34461B94-3989-9AE6-274E-3A5DE37DFE55}"/>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6202238" y="860924"/>
              <a:ext cx="1764783" cy="1340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89309</xdr:colOff>
      <xdr:row>5</xdr:row>
      <xdr:rowOff>10447</xdr:rowOff>
    </xdr:from>
    <xdr:to>
      <xdr:col>18</xdr:col>
      <xdr:colOff>647050</xdr:colOff>
      <xdr:row>17</xdr:row>
      <xdr:rowOff>122904</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804D1B2C-14FE-81D9-2502-4906CAC20B7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120191" y="850888"/>
              <a:ext cx="1790388" cy="2129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53463</xdr:colOff>
      <xdr:row>5</xdr:row>
      <xdr:rowOff>15570</xdr:rowOff>
    </xdr:from>
    <xdr:to>
      <xdr:col>22</xdr:col>
      <xdr:colOff>616324</xdr:colOff>
      <xdr:row>18</xdr:row>
      <xdr:rowOff>20484</xdr:rowOff>
    </xdr:to>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00825F64-073D-E780-0B34-6A14E32CE9E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418904" y="856011"/>
              <a:ext cx="1795508" cy="2190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c:userShapes xmlns:c="http://schemas.openxmlformats.org/drawingml/2006/chart">
  <cdr:relSizeAnchor xmlns:cdr="http://schemas.openxmlformats.org/drawingml/2006/chartDrawing">
    <cdr:from>
      <cdr:x>0.54566</cdr:x>
      <cdr:y>0.36637</cdr:y>
    </cdr:from>
    <cdr:to>
      <cdr:x>0.65348</cdr:x>
      <cdr:y>0.43196</cdr:y>
    </cdr:to>
    <cdr:cxnSp macro="">
      <cdr:nvCxnSpPr>
        <cdr:cNvPr id="3" name="Straight Arrow Connector 2">
          <a:extLst xmlns:a="http://schemas.openxmlformats.org/drawingml/2006/main">
            <a:ext uri="{FF2B5EF4-FFF2-40B4-BE49-F238E27FC236}">
              <a16:creationId xmlns:a16="http://schemas.microsoft.com/office/drawing/2014/main" id="{FEA98751-7EF7-C3CA-509A-AE7BCCB85BA0}"/>
            </a:ext>
          </a:extLst>
        </cdr:cNvPr>
        <cdr:cNvCxnSpPr/>
      </cdr:nvCxnSpPr>
      <cdr:spPr>
        <a:xfrm xmlns:a="http://schemas.openxmlformats.org/drawingml/2006/main" flipV="1">
          <a:off x="3619595" y="970684"/>
          <a:ext cx="715210" cy="17379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0.66054</cdr:x>
      <cdr:y>0.26798</cdr:y>
    </cdr:from>
    <cdr:to>
      <cdr:x>0.93261</cdr:x>
      <cdr:y>0.54802</cdr:y>
    </cdr:to>
    <cdr:sp macro="" textlink="">
      <cdr:nvSpPr>
        <cdr:cNvPr id="10" name="Speech Bubble: Rectangle with Corners Rounded 9">
          <a:extLst xmlns:a="http://schemas.openxmlformats.org/drawingml/2006/main">
            <a:ext uri="{FF2B5EF4-FFF2-40B4-BE49-F238E27FC236}">
              <a16:creationId xmlns:a16="http://schemas.microsoft.com/office/drawing/2014/main" id="{20126397-8A3F-51D6-4323-2982A110A1D1}"/>
            </a:ext>
          </a:extLst>
        </cdr:cNvPr>
        <cdr:cNvSpPr/>
      </cdr:nvSpPr>
      <cdr:spPr>
        <a:xfrm xmlns:a="http://schemas.openxmlformats.org/drawingml/2006/main">
          <a:off x="4381595" y="710000"/>
          <a:ext cx="1804737" cy="741947"/>
        </a:xfrm>
        <a:prstGeom xmlns:a="http://schemas.openxmlformats.org/drawingml/2006/main" prst="wedgeRoundRectCallout">
          <a:avLst/>
        </a:prstGeom>
        <a:solidFill xmlns:a="http://schemas.openxmlformats.org/drawingml/2006/main">
          <a:schemeClr val="accent1">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Food</a:t>
          </a:r>
          <a:r>
            <a:rPr lang="en-IN" kern="1200" baseline="0"/>
            <a:t> and beverages contributes 18% more than miscellaneous. </a:t>
          </a:r>
          <a:endParaRPr lang="en-IN" kern="1200"/>
        </a:p>
      </cdr:txBody>
    </cdr:sp>
  </cdr:relSizeAnchor>
  <cdr:relSizeAnchor xmlns:cdr="http://schemas.openxmlformats.org/drawingml/2006/chartDrawing">
    <cdr:from>
      <cdr:x>0.01418</cdr:x>
      <cdr:y>0.1435</cdr:y>
    </cdr:from>
    <cdr:to>
      <cdr:x>0.25767</cdr:x>
      <cdr:y>0.88885</cdr:y>
    </cdr:to>
    <cdr:sp macro="" textlink="">
      <cdr:nvSpPr>
        <cdr:cNvPr id="11" name="Flowchart: Alternate Process 10">
          <a:extLst xmlns:a="http://schemas.openxmlformats.org/drawingml/2006/main">
            <a:ext uri="{FF2B5EF4-FFF2-40B4-BE49-F238E27FC236}">
              <a16:creationId xmlns:a16="http://schemas.microsoft.com/office/drawing/2014/main" id="{226DE4CF-C5B7-6627-8F63-414DE81FD697}"/>
            </a:ext>
          </a:extLst>
        </cdr:cNvPr>
        <cdr:cNvSpPr/>
      </cdr:nvSpPr>
      <cdr:spPr>
        <a:xfrm xmlns:a="http://schemas.openxmlformats.org/drawingml/2006/main">
          <a:off x="99149" y="403981"/>
          <a:ext cx="1702536" cy="2098261"/>
        </a:xfrm>
        <a:prstGeom xmlns:a="http://schemas.openxmlformats.org/drawingml/2006/main" prst="flowChartAlternateProcess">
          <a:avLst/>
        </a:prstGeom>
        <a:solidFill xmlns:a="http://schemas.openxmlformats.org/drawingml/2006/main">
          <a:schemeClr val="accent1">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1.All</a:t>
          </a:r>
          <a:r>
            <a:rPr lang="en-IN" kern="1200" baseline="0"/>
            <a:t> categories except food and beverages contributes 52% all together.</a:t>
          </a:r>
        </a:p>
        <a:p xmlns:a="http://schemas.openxmlformats.org/drawingml/2006/main">
          <a:endParaRPr lang="en-IN" kern="1200" baseline="0"/>
        </a:p>
        <a:p xmlns:a="http://schemas.openxmlformats.org/drawingml/2006/main">
          <a:r>
            <a:rPr lang="en-IN" kern="1200" baseline="0"/>
            <a:t>2.Only 4% of all is contributed by tobacco,pan and intoxicants as it is optional not all consumers did that.</a:t>
          </a:r>
          <a:endParaRPr lang="en-IN" kern="1200"/>
        </a:p>
      </cdr:txBody>
    </cdr:sp>
  </cdr:relSizeAnchor>
</c:userShapes>
</file>

<file path=xl/drawings/drawing15.xml><?xml version="1.0" encoding="utf-8"?>
<c:userShapes xmlns:c="http://schemas.openxmlformats.org/drawingml/2006/chart">
  <cdr:relSizeAnchor xmlns:cdr="http://schemas.openxmlformats.org/drawingml/2006/chartDrawing">
    <cdr:from>
      <cdr:x>0.29391</cdr:x>
      <cdr:y>0.50725</cdr:y>
    </cdr:from>
    <cdr:to>
      <cdr:x>0.31801</cdr:x>
      <cdr:y>0.60244</cdr:y>
    </cdr:to>
    <cdr:sp macro="" textlink="">
      <cdr:nvSpPr>
        <cdr:cNvPr id="2" name="Arrow: Down 1">
          <a:extLst xmlns:a="http://schemas.openxmlformats.org/drawingml/2006/main">
            <a:ext uri="{FF2B5EF4-FFF2-40B4-BE49-F238E27FC236}">
              <a16:creationId xmlns:a16="http://schemas.microsoft.com/office/drawing/2014/main" id="{0BA1FE93-BB27-9D21-D933-4FBAF924D3DD}"/>
            </a:ext>
          </a:extLst>
        </cdr:cNvPr>
        <cdr:cNvSpPr/>
      </cdr:nvSpPr>
      <cdr:spPr>
        <a:xfrm xmlns:a="http://schemas.openxmlformats.org/drawingml/2006/main">
          <a:off x="1635127" y="1541639"/>
          <a:ext cx="134055" cy="289277"/>
        </a:xfrm>
        <a:prstGeom xmlns:a="http://schemas.openxmlformats.org/drawingml/2006/main" prst="downArrow">
          <a:avLst>
            <a:gd name="adj1" fmla="val 57692"/>
            <a:gd name="adj2" fmla="val 50000"/>
          </a:avLst>
        </a:prstGeom>
        <a:solidFill xmlns:a="http://schemas.openxmlformats.org/drawingml/2006/main">
          <a:schemeClr val="accent2"/>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0.53488</cdr:x>
      <cdr:y>0.11027</cdr:y>
    </cdr:from>
    <cdr:to>
      <cdr:x>0.7936</cdr:x>
      <cdr:y>0.30296</cdr:y>
    </cdr:to>
    <cdr:sp macro="" textlink="">
      <cdr:nvSpPr>
        <cdr:cNvPr id="3" name="Rectangle: Rounded Corners 2">
          <a:extLst xmlns:a="http://schemas.openxmlformats.org/drawingml/2006/main">
            <a:ext uri="{FF2B5EF4-FFF2-40B4-BE49-F238E27FC236}">
              <a16:creationId xmlns:a16="http://schemas.microsoft.com/office/drawing/2014/main" id="{8D52154D-FACB-8600-20BD-256C83CEAD32}"/>
            </a:ext>
          </a:extLst>
        </cdr:cNvPr>
        <cdr:cNvSpPr/>
      </cdr:nvSpPr>
      <cdr:spPr>
        <a:xfrm xmlns:a="http://schemas.openxmlformats.org/drawingml/2006/main">
          <a:off x="2975682" y="335139"/>
          <a:ext cx="1439334" cy="585612"/>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900" kern="1200"/>
            <a:t>2019</a:t>
          </a:r>
          <a:r>
            <a:rPr lang="en-IN" sz="900" kern="1200" baseline="0"/>
            <a:t> has the most inflation rate which is 1.94% more than 2020. </a:t>
          </a:r>
          <a:endParaRPr lang="en-IN" sz="9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shq Bhardwaj" refreshedDate="46089.765867476854" createdVersion="8" refreshedVersion="8" minRefreshableVersion="3" recordCount="372" xr:uid="{9DFD0FC7-8C65-4C1C-AFA8-6AAC5C089FA5}">
  <cacheSource type="worksheet">
    <worksheetSource ref="A1:J373" sheet="Broad Categories"/>
  </cacheSource>
  <cacheFields count="10">
    <cacheField name="Sector" numFmtId="0">
      <sharedItems count="3">
        <s v="Rural"/>
        <s v="Urban"/>
        <s v="Rural+Urban"/>
      </sharedItems>
    </cacheField>
    <cacheField name="YearMonth" numFmtId="0">
      <sharedItems count="124">
        <s v="January 2013"/>
        <s v="February 2013"/>
        <s v="March 2013"/>
        <s v="April 2013"/>
        <s v="May 2013"/>
        <s v="June 2013"/>
        <s v="July 2013"/>
        <s v="August 2013"/>
        <s v="September 2013"/>
        <s v="October 2013"/>
        <s v="November 2013"/>
        <s v="December 2013"/>
        <s v="January 2014"/>
        <s v="February 2014"/>
        <s v="March 2014"/>
        <s v="April 2014"/>
        <s v="May 2014"/>
        <s v="June 2014"/>
        <s v="July 2014"/>
        <s v="August 2014"/>
        <s v="September 2014"/>
        <s v="October 2014"/>
        <s v="November 2014"/>
        <s v="December 2014"/>
        <s v="January 2015"/>
        <s v="February 2015"/>
        <s v="March 2015"/>
        <s v="April 2015"/>
        <s v="May 2015"/>
        <s v="June 2015"/>
        <s v="July 2015"/>
        <s v="August 2015"/>
        <s v="September 2015"/>
        <s v="October 2015"/>
        <s v="November 2015"/>
        <s v="December 2015"/>
        <s v="January 2016"/>
        <s v="February 2016"/>
        <s v="March 2016"/>
        <s v="April 2016"/>
        <s v="May 2016"/>
        <s v="June 2016"/>
        <s v="July 2016"/>
        <s v="August 2016"/>
        <s v="September 2016"/>
        <s v="October 2016"/>
        <s v="November 2016"/>
        <s v="December 2016"/>
        <s v="January 2017"/>
        <s v="February 2017"/>
        <s v="March 2017"/>
        <s v="April 2017"/>
        <s v="May 2017"/>
        <s v="June 2017"/>
        <s v="July 2017"/>
        <s v="August 2017"/>
        <s v="September 2017"/>
        <s v="October 2017"/>
        <s v="November 2017"/>
        <s v="December 2017"/>
        <s v="January 2018"/>
        <s v="February 2018"/>
        <s v="March 2018"/>
        <s v="April 2018"/>
        <s v="May 2018"/>
        <s v="June 2018"/>
        <s v="July 2018"/>
        <s v="August 2018"/>
        <s v="September 2018"/>
        <s v="October 2018"/>
        <s v="November 2018"/>
        <s v="December 2018"/>
        <s v="January 2019"/>
        <s v="February 2019"/>
        <s v="March 2019"/>
        <s v="May 2019"/>
        <s v="June 2019"/>
        <s v="July 2019"/>
        <s v="August 2019"/>
        <s v="September 2019"/>
        <s v="October 2019"/>
        <s v="November 2019"/>
        <s v="December 2019"/>
        <s v="January 2020"/>
        <s v="February 2020"/>
        <s v="March 2020"/>
        <s v="April 2020"/>
        <s v="May 2020"/>
        <s v="June 2020"/>
        <s v="July 2020"/>
        <s v="August 2020"/>
        <s v="September 2020"/>
        <s v="October 2020"/>
        <s v="November 2020"/>
        <s v="December 2020"/>
        <s v="January 2021"/>
        <s v="February 2021"/>
        <s v="March 2021"/>
        <s v="April 2021"/>
        <s v="May 2021"/>
        <s v="June 2021"/>
        <s v="July 2021"/>
        <s v="August 2021"/>
        <s v="September 2021"/>
        <s v="October 2021"/>
        <s v="November 2021"/>
        <s v="December 2021"/>
        <s v="January 2022"/>
        <s v="February 2022"/>
        <s v="March 2022"/>
        <s v="April 2022"/>
        <s v="May 2022"/>
        <s v="June 2022"/>
        <s v="July 2022"/>
        <s v="August 2022"/>
        <s v="September 2022"/>
        <s v="October 2022"/>
        <s v="November 2022"/>
        <s v="December 2022"/>
        <s v="January 2023"/>
        <s v="February 2023"/>
        <s v="March 2023"/>
        <s v="April 2023"/>
        <s v="May 2023"/>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Food and beverages" numFmtId="0">
      <sharedItems containsSemiMixedTypes="0" containsString="0" containsNumber="1" minValue="1371.6999999999998" maxValue="2335.1" count="363">
        <n v="1371.6999999999998"/>
        <n v="1376.4"/>
        <n v="1373.3000000000002"/>
        <n v="1380.3999999999999"/>
        <n v="1390.6000000000001"/>
        <n v="1384.2"/>
        <n v="1382.2"/>
        <n v="1386.8"/>
        <n v="1384.0000000000002"/>
        <n v="1385.8"/>
        <n v="1397.6999999999998"/>
        <n v="1390.2"/>
        <n v="1394"/>
        <n v="1417.1999999999998"/>
        <n v="1402.1999999999998"/>
        <n v="1420"/>
        <n v="1464.6000000000001"/>
        <n v="1436"/>
        <n v="1445.8999999999996"/>
        <n v="1489.4"/>
        <n v="1461.3999999999999"/>
        <n v="1462.5"/>
        <n v="1506.1000000000001"/>
        <n v="1477.4"/>
        <n v="1488.5000000000002"/>
        <n v="1500.4"/>
        <n v="1491.6999999999998"/>
        <n v="1508"/>
        <n v="1517.1999999999998"/>
        <n v="1510.2000000000003"/>
        <n v="1536.8"/>
        <n v="1544.6"/>
        <n v="1538.8"/>
        <n v="1509"/>
        <n v="1504.4"/>
        <n v="1507.3000000000002"/>
        <n v="1486.6000000000001"/>
        <n v="1484.3"/>
        <n v="1485.7999999999997"/>
        <n v="1482.2"/>
        <n v="1476"/>
        <n v="1480.1"/>
        <n v="1491.4"/>
        <n v="1483"/>
        <n v="1488.2999999999997"/>
        <n v="1504.1000000000001"/>
        <n v="1504.0000000000002"/>
        <n v="1504.1"/>
        <n v="1513.8999999999999"/>
        <n v="1525.3000000000002"/>
        <n v="1518.5000000000005"/>
        <n v="1525.6999999999998"/>
        <n v="1547"/>
        <n v="1533.7000000000003"/>
        <n v="1563.2"/>
        <n v="1599.5"/>
        <n v="1576.3"/>
        <n v="1582.2999999999997"/>
        <n v="1617"/>
        <n v="1594.4999999999998"/>
        <n v="1583.2"/>
        <n v="1593.7000000000003"/>
        <n v="1586.0999999999997"/>
        <n v="1581.1999999999998"/>
        <n v="1587.5"/>
        <n v="1582.7"/>
        <n v="1582"/>
        <n v="1587.8"/>
        <n v="1569.6"/>
        <n v="1577.1999999999998"/>
        <n v="1571.6999999999998"/>
        <n v="1568.1"/>
        <n v="1574.8999999999999"/>
        <n v="1569.3"/>
        <n v="1570.5999999999997"/>
        <n v="1571.1000000000001"/>
        <n v="1569.3999999999996"/>
        <n v="1571.5"/>
        <n v="1568.0000000000002"/>
        <n v="1569.1"/>
        <n v="1577.2"/>
        <n v="1576.1"/>
        <n v="1575.7"/>
        <n v="1587.7"/>
        <n v="1598.9"/>
        <n v="1590.4"/>
        <n v="1617.8999999999999"/>
        <n v="1636.6"/>
        <n v="1623.5"/>
        <n v="1625.3"/>
        <n v="1642.8999999999999"/>
        <n v="1630.6000000000001"/>
        <n v="1646.6"/>
        <n v="1658.8999999999999"/>
        <n v="1649.6"/>
        <n v="1657.6000000000001"/>
        <n v="1664.8"/>
        <n v="1658.3000000000002"/>
        <n v="1674.6"/>
        <n v="1692.8000000000002"/>
        <n v="1678.9999999999998"/>
        <n v="1686.3"/>
        <n v="1708.4999999999998"/>
        <n v="1692.1"/>
        <n v="1682.3000000000002"/>
        <n v="1698.8"/>
        <n v="1686.1000000000001"/>
        <n v="1690.1000000000001"/>
        <n v="1701.4"/>
        <n v="1691.7"/>
        <n v="1682.6"/>
        <n v="1676.1"/>
        <n v="1678.1"/>
        <n v="1682.7000000000003"/>
        <n v="1667.6000000000001"/>
        <n v="1675.2"/>
        <n v="1701.6000000000004"/>
        <n v="1706.3"/>
        <n v="1701.3"/>
        <n v="1723.6999999999998"/>
        <n v="1746.7999999999997"/>
        <n v="1730.4"/>
        <n v="1748.6"/>
        <n v="1787.0000000000002"/>
        <n v="1760.6"/>
        <n v="1770.2999999999997"/>
        <n v="1811.5000000000002"/>
        <n v="1783.5"/>
        <n v="1777.4999999999998"/>
        <n v="1783.9999999999995"/>
        <n v="1777.9"/>
        <n v="1770.7"/>
        <n v="1756.3999999999996"/>
        <n v="1763.6999999999998"/>
        <n v="1771.8000000000002"/>
        <n v="1762.8999999999999"/>
        <n v="1766.7999999999995"/>
        <n v="1764.6"/>
        <n v="1755.2"/>
        <n v="1759.8"/>
        <n v="1749.1"/>
        <n v="1729.8"/>
        <n v="1740.7"/>
        <n v="1737.3000000000002"/>
        <n v="1713.2"/>
        <n v="1727.2999999999995"/>
        <n v="1734.5000000000002"/>
        <n v="1705.3000000000002"/>
        <n v="1722.3000000000002"/>
        <n v="1728.5000000000002"/>
        <n v="1705.6999999999998"/>
        <n v="1718.9"/>
        <n v="1726.3"/>
        <n v="1708.1"/>
        <n v="1718.4"/>
        <n v="1727.4999999999995"/>
        <n v="1709.6"/>
        <n v="1719.6000000000001"/>
        <n v="1738.8000000000002"/>
        <n v="1731.0000000000002"/>
        <n v="1734.7"/>
        <n v="1772.9"/>
        <n v="1768.1"/>
        <n v="1769.3999999999999"/>
        <n v="1792.4999999999998"/>
        <n v="1772.9999999999998"/>
        <n v="1783.8"/>
        <n v="1784.3"/>
        <n v="1749.7"/>
        <n v="1769.9999999999998"/>
        <n v="1790.8999999999999"/>
        <n v="1765.6999999999998"/>
        <n v="1779.6999999999998"/>
        <n v="1817.7000000000003"/>
        <n v="1796.7"/>
        <n v="1808.2"/>
        <n v="1813.6000000000001"/>
        <n v="1767.5"/>
        <n v="1794.9999999999998"/>
        <n v="1800.7"/>
        <n v="1748.3000000000002"/>
        <n v="1779.9"/>
        <n v="1781.5"/>
        <n v="1727.9"/>
        <n v="1760.3999999999996"/>
        <n v="1781.9999999999998"/>
        <n v="1715.5"/>
        <n v="1756"/>
        <n v="1780"/>
        <n v="1720.0000000000002"/>
        <n v="1757.1000000000001"/>
        <n v="1782.4"/>
        <n v="1722.8999999999999"/>
        <n v="1790.2999999999997"/>
        <n v="1747.3000000000002"/>
        <n v="1774.1000000000001"/>
        <n v="1810.5000000000002"/>
        <n v="1771.1"/>
        <n v="1795.3"/>
        <n v="1818.8"/>
        <n v="1767.6"/>
        <n v="1798.7000000000003"/>
        <n v="1799.8000000000002"/>
        <n v="1748.4"/>
        <n v="1779.5"/>
        <n v="1782.2"/>
        <n v="1754.1"/>
        <n v="1776.2"/>
        <n v="1787.4999999999995"/>
        <n v="1757.4999999999998"/>
        <n v="1775.7000000000003"/>
        <n v="1773.1000000000001"/>
        <n v="1746.6"/>
        <n v="1762.7999999999997"/>
        <n v="1759.6000000000001"/>
        <n v="1744.3000000000002"/>
        <n v="1753.3999999999999"/>
        <n v="1759.8000000000002"/>
        <n v="1754.4"/>
        <n v="1757.1"/>
        <n v="1761.2000000000003"/>
        <n v="1768.4"/>
        <n v="1762.9"/>
        <n v="1782.1000000000001"/>
        <n v="1791.9000000000003"/>
        <n v="1804.1999999999998"/>
        <n v="1833.2999999999997"/>
        <n v="1814.1000000000001"/>
        <n v="1826.8999999999999"/>
        <n v="1857.3999999999999"/>
        <n v="1837.5"/>
        <n v="1834.5000000000002"/>
        <n v="1869.1"/>
        <n v="1846.5"/>
        <n v="1848.7"/>
        <n v="1874.9"/>
        <n v="1857.6999999999998"/>
        <n v="1876.8999999999996"/>
        <n v="1902.6000000000001"/>
        <n v="1885.5999999999997"/>
        <n v="1904.6000000000001"/>
        <n v="1923.9999999999998"/>
        <n v="1910.9"/>
        <n v="1940.9999999999995"/>
        <n v="1956.7"/>
        <n v="1946.1000000000001"/>
        <n v="1938.6"/>
        <n v="1945.3999999999999"/>
        <n v="1940.3999999999999"/>
        <n v="1909.7999999999997"/>
        <n v="1916.6"/>
        <n v="1911.6"/>
        <n v="1894.5999999999997"/>
        <n v="1898.5"/>
        <n v="1895.4"/>
        <n v="1954.2500000000002"/>
        <n v="1979.35"/>
        <n v="1961.65"/>
        <n v="2249.1499999999996"/>
        <n v="2277.4"/>
        <n v="2265.6249999999995"/>
        <n v="1951"/>
        <n v="1994.9999999999998"/>
        <n v="1966.8000000000002"/>
        <n v="1978.6"/>
        <n v="2024.8999999999999"/>
        <n v="1995.1999999999998"/>
        <n v="1987.3999999999999"/>
        <n v="2041.6000000000001"/>
        <n v="2007"/>
        <n v="2030.9"/>
        <n v="2080.1999999999998"/>
        <n v="2048.6000000000004"/>
        <n v="2082.4"/>
        <n v="2120.6999999999998"/>
        <n v="2095.6"/>
        <n v="2100.5"/>
        <n v="2125.4"/>
        <n v="2109.1"/>
        <n v="2065.6999999999998"/>
        <n v="2097"/>
        <n v="2076.5"/>
        <n v="2025.3"/>
        <n v="2066"/>
        <n v="2039.3000000000002"/>
        <n v="2025.7"/>
        <n v="2064.4999999999995"/>
        <n v="2039.3999999999999"/>
        <n v="2049.5"/>
        <n v="2089.6"/>
        <n v="2064.1"/>
        <n v="2095.2999999999997"/>
        <n v="2124.7000000000003"/>
        <n v="2105.7000000000003"/>
        <n v="2122.6"/>
        <n v="2154.1999999999998"/>
        <n v="2133.9"/>
        <n v="2132.4"/>
        <n v="2171.8000000000002"/>
        <n v="2147"/>
        <n v="2130.8000000000002"/>
        <n v="2157.9"/>
        <n v="2142"/>
        <n v="2133.6"/>
        <n v="2164.1999999999998"/>
        <n v="2198.4000000000005"/>
        <n v="2175.5"/>
        <n v="2182"/>
        <n v="2217.8999999999996"/>
        <n v="2194.1"/>
        <n v="2168.1999999999998"/>
        <n v="2206.3000000000002"/>
        <n v="2180.9"/>
        <n v="2153"/>
        <n v="2186.6999999999998"/>
        <n v="2150.4"/>
        <n v="2183.5"/>
        <n v="2161.2000000000003"/>
        <n v="2179.1000000000004"/>
        <n v="2196.3000000000002"/>
        <n v="2184.2000000000003"/>
        <n v="2206.6"/>
        <n v="2230.4"/>
        <n v="2214.3000000000002"/>
        <n v="2226.8000000000002"/>
        <n v="2262.2000000000003"/>
        <n v="2238.9000000000005"/>
        <n v="2248.3000000000002"/>
        <n v="2287.5"/>
        <n v="2261.9"/>
        <n v="2252.5"/>
        <n v="2291.6"/>
        <n v="2266.3000000000002"/>
        <n v="2255.7999999999997"/>
        <n v="2293.6999999999998"/>
        <n v="2269.2000000000003"/>
        <n v="2267.8000000000002"/>
        <n v="2306.4"/>
        <n v="2280.9"/>
        <n v="2284.5"/>
        <n v="2322.3000000000002"/>
        <n v="2297.3000000000002"/>
        <n v="2287.6999999999998"/>
        <n v="2314.4"/>
        <n v="2296.8000000000002"/>
        <n v="2277.1"/>
        <n v="2295.7999999999997"/>
        <n v="2283.4"/>
        <n v="2283.2000000000003"/>
        <n v="2310.2000000000003"/>
        <n v="2292.6999999999998"/>
        <n v="2265.6999999999998"/>
        <n v="2303.1999999999998"/>
        <n v="2279.1"/>
        <n v="2265.8000000000002"/>
        <n v="2303.4"/>
        <n v="2279.1999999999998"/>
        <n v="2274.1999999999998"/>
        <n v="2317.7000000000003"/>
        <n v="2289.6000000000004"/>
        <n v="2290.7000000000007"/>
        <n v="2335.1"/>
        <n v="2306.9"/>
      </sharedItems>
    </cacheField>
    <cacheField name="Pan, tobacco and intoxicants" numFmtId="0">
      <sharedItems containsSemiMixedTypes="0" containsString="0" containsNumber="1" minValue="105.1" maxValue="204.2"/>
    </cacheField>
    <cacheField name="Clothing and footwear " numFmtId="0">
      <sharedItems containsSemiMixedTypes="0" containsString="0" containsNumber="1" minValue="316.7" maxValue="569.90000000000009"/>
    </cacheField>
    <cacheField name="Housing" numFmtId="0">
      <sharedItems containsSemiMixedTypes="0" containsString="0" containsNumber="1" minValue="310.5" maxValue="537.90000000000009"/>
    </cacheField>
    <cacheField name="Miscellaneous" numFmtId="0">
      <sharedItems containsSemiMixedTypes="0" containsString="0" containsNumber="1" minValue="829.30000000000007" maxValue="1444.1"/>
    </cacheField>
    <cacheField name="General index" numFmtId="0">
      <sharedItems containsSemiMixedTypes="0" containsString="0" containsNumber="1" minValue="104" maxValue="179.8" count="287">
        <n v="105.1"/>
        <n v="104"/>
        <n v="104.6"/>
        <n v="105.8"/>
        <n v="104.7"/>
        <n v="105.3"/>
        <n v="106"/>
        <n v="105"/>
        <n v="105.5"/>
        <n v="106.4"/>
        <n v="105.7"/>
        <n v="106.1"/>
        <n v="107.2"/>
        <n v="106.6"/>
        <n v="106.9"/>
        <n v="108.9"/>
        <n v="109.7"/>
        <n v="109.3"/>
        <n v="110.7"/>
        <n v="111.4"/>
        <n v="111"/>
        <n v="112.1"/>
        <n v="112.7"/>
        <n v="112.4"/>
        <n v="114.2"/>
        <n v="113.2"/>
        <n v="113.7"/>
        <n v="115.5"/>
        <n v="114"/>
        <n v="114.8"/>
        <n v="117.4"/>
        <n v="115"/>
        <n v="116.3"/>
        <n v="113.3"/>
        <n v="114.5"/>
        <n v="112.9"/>
        <n v="113.6"/>
        <n v="113.1"/>
        <n v="114.6"/>
        <n v="115.4"/>
        <n v="114.7"/>
        <n v="115.1"/>
        <n v="116"/>
        <n v="115.6"/>
        <n v="115.8"/>
        <n v="117"/>
        <n v="116.4"/>
        <n v="116.7"/>
        <n v="119.5"/>
        <n v="118.9"/>
        <n v="119.2"/>
        <n v="120.7"/>
        <n v="119.9"/>
        <n v="120.3"/>
        <n v="120.9"/>
        <n v="120.1"/>
        <n v="121"/>
        <n v="119.1"/>
        <n v="121.1"/>
        <n v="119"/>
        <n v="118.4"/>
        <n v="119.4"/>
        <n v="118.5"/>
        <n v="120.6"/>
        <n v="118.7"/>
        <n v="119.7"/>
        <n v="120.2"/>
        <n v="121.5"/>
        <n v="122.4"/>
        <n v="121.6"/>
        <n v="124.1"/>
        <n v="121.7"/>
        <n v="123"/>
        <n v="124.7"/>
        <n v="123.6"/>
        <n v="126.1"/>
        <n v="123.2"/>
        <n v="124.8"/>
        <n v="127"/>
        <n v="123.5"/>
        <n v="125.4"/>
        <n v="127.7"/>
        <n v="124.2"/>
        <n v="128.30000000000001"/>
        <n v="124.6"/>
        <n v="126.6"/>
        <n v="127.9"/>
        <n v="124"/>
        <n v="128.1"/>
        <n v="126.3"/>
        <n v="123.8"/>
        <n v="126"/>
        <n v="128"/>
        <n v="129"/>
        <n v="125.3"/>
        <n v="127.3"/>
        <n v="130.30000000000001"/>
        <n v="128.6"/>
        <n v="131.9"/>
        <n v="130.1"/>
        <n v="133"/>
        <n v="131.1"/>
        <n v="133.5"/>
        <n v="128.4"/>
        <n v="133.4"/>
        <n v="130.9"/>
        <n v="133.80000000000001"/>
        <n v="131.4"/>
        <n v="133.6"/>
        <n v="128.5"/>
        <n v="131.19999999999999"/>
        <n v="132.80000000000001"/>
        <n v="127.6"/>
        <n v="130.4"/>
        <n v="132.4"/>
        <n v="127.8"/>
        <n v="132.6"/>
        <n v="128.19999999999999"/>
        <n v="130.6"/>
        <n v="128.69999999999999"/>
        <n v="132.9"/>
        <n v="129.1"/>
        <n v="133.30000000000001"/>
        <n v="129.30000000000001"/>
        <n v="133.9"/>
        <n v="129.9"/>
        <n v="132"/>
        <n v="136.19999999999999"/>
        <n v="131.80000000000001"/>
        <n v="134.19999999999999"/>
        <n v="137.80000000000001"/>
        <n v="132.69999999999999"/>
        <n v="135.4"/>
        <n v="137.6"/>
        <n v="135.19999999999999"/>
        <n v="138.30000000000001"/>
        <n v="136.1"/>
        <n v="140"/>
        <n v="134.80000000000001"/>
        <n v="139.80000000000001"/>
        <n v="134.1"/>
        <n v="137.19999999999999"/>
        <n v="139.30000000000001"/>
        <n v="136.9"/>
        <n v="138.5"/>
        <n v="134"/>
        <n v="136.4"/>
        <n v="138.69999999999999"/>
        <n v="136.5"/>
        <n v="139.1"/>
        <n v="137.1"/>
        <n v="140.5"/>
        <n v="141.80000000000001"/>
        <n v="137.5"/>
        <n v="142.5"/>
        <n v="138"/>
        <n v="140.4"/>
        <n v="142.1"/>
        <n v="138.1"/>
        <n v="140.19999999999999"/>
        <n v="142.19999999999999"/>
        <n v="138.9"/>
        <n v="140.80000000000001"/>
        <n v="142.4"/>
        <n v="139"/>
        <n v="141.9"/>
        <n v="140.1"/>
        <n v="141"/>
        <n v="139.6"/>
        <n v="138.6"/>
        <n v="139.9"/>
        <n v="141.19999999999999"/>
        <n v="139.5"/>
        <n v="141.5"/>
        <n v="142"/>
        <n v="143.6"/>
        <n v="142.9"/>
        <n v="144.9"/>
        <n v="143.30000000000001"/>
        <n v="144.19999999999999"/>
        <n v="145.69999999999999"/>
        <n v="145"/>
        <n v="146.69999999999999"/>
        <n v="144.69999999999999"/>
        <n v="145.80000000000001"/>
        <n v="148.30000000000001"/>
        <n v="146"/>
        <n v="147.19999999999999"/>
        <n v="149.9"/>
        <n v="147"/>
        <n v="148.6"/>
        <n v="152.30000000000001"/>
        <n v="150.4"/>
        <n v="151.9"/>
        <n v="148.19999999999999"/>
        <n v="150.19999999999999"/>
        <n v="147.69999999999999"/>
        <n v="149.1"/>
        <n v="149.80000000000001"/>
        <n v="147.30000000000001"/>
        <n v="151.25"/>
        <n v="149.05000000000001"/>
        <n v="150.42500000000001"/>
        <n v="152.69999999999999"/>
        <n v="150.80000000000001"/>
        <n v="151.80000000000001"/>
        <n v="154.69999999999999"/>
        <n v="152.9"/>
        <n v="153.9"/>
        <n v="155.4"/>
        <n v="154"/>
        <n v="157.5"/>
        <n v="155.19999999999999"/>
        <n v="156.4"/>
        <n v="159.80000000000001"/>
        <n v="156.69999999999999"/>
        <n v="158.4"/>
        <n v="160.69999999999999"/>
        <n v="156.9"/>
        <n v="158.9"/>
        <n v="158.5"/>
        <n v="156"/>
        <n v="157.30000000000001"/>
        <n v="156.5"/>
        <n v="156.6"/>
        <n v="156.80000000000001"/>
        <n v="157.6"/>
        <n v="158"/>
        <n v="157.80000000000001"/>
        <n v="161.1"/>
        <n v="159.5"/>
        <n v="160.4"/>
        <n v="162.1"/>
        <n v="161.30000000000001"/>
        <n v="163.19999999999999"/>
        <n v="161.80000000000001"/>
        <n v="162.5"/>
        <n v="163.6"/>
        <n v="162.30000000000001"/>
        <n v="164"/>
        <n v="166.3"/>
        <n v="164.6"/>
        <n v="165.5"/>
        <n v="167.6"/>
        <n v="165.6"/>
        <n v="166.7"/>
        <n v="167"/>
        <n v="165.2"/>
        <n v="166.2"/>
        <n v="166.4"/>
        <n v="165"/>
        <n v="165.7"/>
        <n v="166.1"/>
        <n v="168.7"/>
        <n v="166.5"/>
        <n v="167.7"/>
        <n v="170.8"/>
        <n v="169.2"/>
        <n v="170.1"/>
        <n v="172.5"/>
        <n v="171.7"/>
        <n v="173.6"/>
        <n v="171.4"/>
        <n v="172.6"/>
        <n v="174.3"/>
        <n v="172.3"/>
        <n v="173.4"/>
        <n v="175.3"/>
        <n v="173.1"/>
        <n v="176.4"/>
        <n v="174.1"/>
        <n v="177.9"/>
        <n v="176.7"/>
        <n v="177.8"/>
        <n v="176.5"/>
        <n v="177.1"/>
        <n v="175.7"/>
        <n v="174.9"/>
        <n v="178"/>
        <n v="176.3"/>
        <n v="177.2"/>
        <n v="178.8"/>
        <n v="177.4"/>
        <n v="178.1"/>
        <n v="179.8"/>
        <n v="178.2"/>
        <n v="179.1"/>
      </sharedItems>
    </cacheField>
  </cacheFields>
  <extLst>
    <ext xmlns:x14="http://schemas.microsoft.com/office/spreadsheetml/2009/9/main" uri="{725AE2AE-9491-48be-B2B4-4EB974FC3084}">
      <x14:pivotCacheDefinition pivotCacheId="729099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x v="0"/>
    <x v="0"/>
    <n v="105.1"/>
    <n v="318.70000000000005"/>
    <n v="310.60000000000002"/>
    <n v="831"/>
    <x v="0"/>
  </r>
  <r>
    <x v="1"/>
    <x v="0"/>
    <x v="0"/>
    <x v="0"/>
    <x v="1"/>
    <n v="105.2"/>
    <n v="316.7"/>
    <n v="310.5"/>
    <n v="829.30000000000007"/>
    <x v="1"/>
  </r>
  <r>
    <x v="2"/>
    <x v="0"/>
    <x v="0"/>
    <x v="0"/>
    <x v="2"/>
    <n v="105.1"/>
    <n v="318"/>
    <n v="310.60000000000002"/>
    <n v="829.9"/>
    <x v="2"/>
  </r>
  <r>
    <x v="0"/>
    <x v="1"/>
    <x v="0"/>
    <x v="1"/>
    <x v="3"/>
    <n v="105.6"/>
    <n v="320.39999999999998"/>
    <n v="311.8"/>
    <n v="833.9"/>
    <x v="3"/>
  </r>
  <r>
    <x v="1"/>
    <x v="1"/>
    <x v="0"/>
    <x v="1"/>
    <x v="4"/>
    <n v="106"/>
    <n v="318.5"/>
    <n v="311.3"/>
    <n v="833.09999999999991"/>
    <x v="4"/>
  </r>
  <r>
    <x v="2"/>
    <x v="1"/>
    <x v="0"/>
    <x v="1"/>
    <x v="5"/>
    <n v="105.7"/>
    <n v="319.7"/>
    <n v="311.60000000000002"/>
    <n v="833.5"/>
    <x v="5"/>
  </r>
  <r>
    <x v="0"/>
    <x v="2"/>
    <x v="0"/>
    <x v="2"/>
    <x v="6"/>
    <n v="106.5"/>
    <n v="321.89999999999998"/>
    <n v="312.10000000000002"/>
    <n v="835.5"/>
    <x v="6"/>
  </r>
  <r>
    <x v="1"/>
    <x v="2"/>
    <x v="0"/>
    <x v="2"/>
    <x v="7"/>
    <n v="106.8"/>
    <n v="320.2"/>
    <n v="312.10000000000002"/>
    <n v="836.1"/>
    <x v="7"/>
  </r>
  <r>
    <x v="2"/>
    <x v="2"/>
    <x v="0"/>
    <x v="2"/>
    <x v="8"/>
    <n v="106.6"/>
    <n v="321.2"/>
    <n v="312.10000000000002"/>
    <n v="835.59999999999991"/>
    <x v="8"/>
  </r>
  <r>
    <x v="0"/>
    <x v="3"/>
    <x v="0"/>
    <x v="3"/>
    <x v="9"/>
    <n v="107.1"/>
    <n v="323.5"/>
    <n v="313.10000000000002"/>
    <n v="836"/>
    <x v="9"/>
  </r>
  <r>
    <x v="1"/>
    <x v="3"/>
    <x v="0"/>
    <x v="3"/>
    <x v="10"/>
    <n v="108.5"/>
    <n v="322"/>
    <n v="313.39999999999998"/>
    <n v="839.1"/>
    <x v="10"/>
  </r>
  <r>
    <x v="2"/>
    <x v="3"/>
    <x v="0"/>
    <x v="3"/>
    <x v="11"/>
    <n v="107.5"/>
    <n v="322.89999999999998"/>
    <n v="313.3"/>
    <n v="837.2"/>
    <x v="11"/>
  </r>
  <r>
    <x v="0"/>
    <x v="4"/>
    <x v="0"/>
    <x v="4"/>
    <x v="12"/>
    <n v="108.1"/>
    <n v="325.29999999999995"/>
    <n v="314.8"/>
    <n v="838.39999999999986"/>
    <x v="12"/>
  </r>
  <r>
    <x v="1"/>
    <x v="4"/>
    <x v="0"/>
    <x v="4"/>
    <x v="13"/>
    <n v="109.8"/>
    <n v="323.5"/>
    <n v="314.79999999999995"/>
    <n v="839.8"/>
    <x v="13"/>
  </r>
  <r>
    <x v="2"/>
    <x v="4"/>
    <x v="0"/>
    <x v="4"/>
    <x v="14"/>
    <n v="108.6"/>
    <n v="324.60000000000002"/>
    <n v="314.8"/>
    <n v="838.9"/>
    <x v="14"/>
  </r>
  <r>
    <x v="0"/>
    <x v="5"/>
    <x v="0"/>
    <x v="5"/>
    <x v="15"/>
    <n v="109"/>
    <n v="328"/>
    <n v="322.60000000000002"/>
    <n v="844.2"/>
    <x v="15"/>
  </r>
  <r>
    <x v="1"/>
    <x v="5"/>
    <x v="0"/>
    <x v="5"/>
    <x v="16"/>
    <n v="110.9"/>
    <n v="325.3"/>
    <n v="322.3"/>
    <n v="849"/>
    <x v="16"/>
  </r>
  <r>
    <x v="2"/>
    <x v="5"/>
    <x v="0"/>
    <x v="5"/>
    <x v="17"/>
    <n v="109.5"/>
    <n v="326.89999999999998"/>
    <n v="322.5"/>
    <n v="846.69999999999982"/>
    <x v="17"/>
  </r>
  <r>
    <x v="0"/>
    <x v="6"/>
    <x v="0"/>
    <x v="6"/>
    <x v="18"/>
    <n v="109.8"/>
    <n v="330.3"/>
    <n v="325.5"/>
    <n v="851.59999999999991"/>
    <x v="18"/>
  </r>
  <r>
    <x v="1"/>
    <x v="6"/>
    <x v="0"/>
    <x v="6"/>
    <x v="19"/>
    <n v="111.7"/>
    <n v="327.10000000000002"/>
    <n v="324.39999999999998"/>
    <n v="858.09999999999991"/>
    <x v="19"/>
  </r>
  <r>
    <x v="2"/>
    <x v="6"/>
    <x v="0"/>
    <x v="6"/>
    <x v="20"/>
    <n v="110.3"/>
    <n v="329"/>
    <n v="325.10000000000002"/>
    <n v="855.09999999999991"/>
    <x v="20"/>
  </r>
  <r>
    <x v="0"/>
    <x v="7"/>
    <x v="0"/>
    <x v="7"/>
    <x v="21"/>
    <n v="110.7"/>
    <n v="332.6"/>
    <n v="327.5"/>
    <n v="859.5"/>
    <x v="21"/>
  </r>
  <r>
    <x v="1"/>
    <x v="7"/>
    <x v="0"/>
    <x v="7"/>
    <x v="22"/>
    <n v="112.4"/>
    <n v="329.09999999999997"/>
    <n v="326.89999999999998"/>
    <n v="865.69999999999993"/>
    <x v="22"/>
  </r>
  <r>
    <x v="2"/>
    <x v="7"/>
    <x v="0"/>
    <x v="7"/>
    <x v="23"/>
    <n v="111.2"/>
    <n v="331.1"/>
    <n v="327.3"/>
    <n v="862.69999999999993"/>
    <x v="23"/>
  </r>
  <r>
    <x v="0"/>
    <x v="8"/>
    <x v="0"/>
    <x v="8"/>
    <x v="24"/>
    <n v="111.7"/>
    <n v="336.6"/>
    <n v="330.4"/>
    <n v="868.6"/>
    <x v="24"/>
  </r>
  <r>
    <x v="1"/>
    <x v="8"/>
    <x v="0"/>
    <x v="8"/>
    <x v="25"/>
    <n v="112.9"/>
    <n v="331.5"/>
    <n v="328.79999999999995"/>
    <n v="872.3"/>
    <x v="25"/>
  </r>
  <r>
    <x v="2"/>
    <x v="8"/>
    <x v="0"/>
    <x v="8"/>
    <x v="26"/>
    <n v="112"/>
    <n v="334.5"/>
    <n v="329.79999999999995"/>
    <n v="870.59999999999991"/>
    <x v="26"/>
  </r>
  <r>
    <x v="0"/>
    <x v="9"/>
    <x v="0"/>
    <x v="9"/>
    <x v="27"/>
    <n v="112.2"/>
    <n v="339.29999999999995"/>
    <n v="332.5"/>
    <n v="872.40000000000009"/>
    <x v="27"/>
  </r>
  <r>
    <x v="1"/>
    <x v="9"/>
    <x v="0"/>
    <x v="9"/>
    <x v="28"/>
    <n v="113.5"/>
    <n v="334.2"/>
    <n v="330.4"/>
    <n v="873.4"/>
    <x v="28"/>
  </r>
  <r>
    <x v="2"/>
    <x v="9"/>
    <x v="0"/>
    <x v="9"/>
    <x v="29"/>
    <n v="112.5"/>
    <n v="337.20000000000005"/>
    <n v="331.7"/>
    <n v="873"/>
    <x v="29"/>
  </r>
  <r>
    <x v="0"/>
    <x v="10"/>
    <x v="0"/>
    <x v="10"/>
    <x v="30"/>
    <n v="112.8"/>
    <n v="342.1"/>
    <n v="335"/>
    <n v="877.7"/>
    <x v="30"/>
  </r>
  <r>
    <x v="1"/>
    <x v="10"/>
    <x v="0"/>
    <x v="10"/>
    <x v="31"/>
    <n v="114.1"/>
    <n v="336.80000000000007"/>
    <n v="332"/>
    <n v="875.3"/>
    <x v="31"/>
  </r>
  <r>
    <x v="2"/>
    <x v="10"/>
    <x v="0"/>
    <x v="10"/>
    <x v="32"/>
    <n v="113.1"/>
    <n v="339.9"/>
    <n v="333.79999999999995"/>
    <n v="876.90000000000009"/>
    <x v="32"/>
  </r>
  <r>
    <x v="0"/>
    <x v="11"/>
    <x v="0"/>
    <x v="11"/>
    <x v="33"/>
    <n v="113.6"/>
    <n v="345.29999999999995"/>
    <n v="335.6"/>
    <n v="880.7"/>
    <x v="27"/>
  </r>
  <r>
    <x v="1"/>
    <x v="11"/>
    <x v="0"/>
    <x v="11"/>
    <x v="34"/>
    <n v="115"/>
    <n v="338.8"/>
    <n v="332.40000000000003"/>
    <n v="876.9"/>
    <x v="33"/>
  </r>
  <r>
    <x v="2"/>
    <x v="11"/>
    <x v="0"/>
    <x v="11"/>
    <x v="35"/>
    <n v="114"/>
    <n v="342.70000000000005"/>
    <n v="334.3"/>
    <n v="879.09999999999991"/>
    <x v="34"/>
  </r>
  <r>
    <x v="0"/>
    <x v="12"/>
    <x v="1"/>
    <x v="0"/>
    <x v="36"/>
    <n v="114"/>
    <n v="347.2"/>
    <n v="337.2"/>
    <n v="883.8"/>
    <x v="24"/>
  </r>
  <r>
    <x v="1"/>
    <x v="12"/>
    <x v="1"/>
    <x v="0"/>
    <x v="37"/>
    <n v="115.7"/>
    <n v="340.4"/>
    <n v="334.5"/>
    <n v="881.5"/>
    <x v="35"/>
  </r>
  <r>
    <x v="2"/>
    <x v="12"/>
    <x v="1"/>
    <x v="0"/>
    <x v="38"/>
    <n v="114.5"/>
    <n v="344.4"/>
    <n v="336.1"/>
    <n v="883"/>
    <x v="36"/>
  </r>
  <r>
    <x v="0"/>
    <x v="13"/>
    <x v="1"/>
    <x v="1"/>
    <x v="39"/>
    <n v="114.2"/>
    <n v="348.3"/>
    <n v="338.6"/>
    <n v="886.1"/>
    <x v="28"/>
  </r>
  <r>
    <x v="1"/>
    <x v="13"/>
    <x v="1"/>
    <x v="1"/>
    <x v="40"/>
    <n v="116.2"/>
    <n v="341.7"/>
    <n v="336.2"/>
    <n v="885.30000000000007"/>
    <x v="37"/>
  </r>
  <r>
    <x v="2"/>
    <x v="13"/>
    <x v="1"/>
    <x v="1"/>
    <x v="41"/>
    <n v="114.7"/>
    <n v="345.6"/>
    <n v="337.7"/>
    <n v="885.80000000000007"/>
    <x v="36"/>
  </r>
  <r>
    <x v="0"/>
    <x v="14"/>
    <x v="1"/>
    <x v="2"/>
    <x v="42"/>
    <n v="114.6"/>
    <n v="349.6"/>
    <n v="340"/>
    <n v="889.2"/>
    <x v="38"/>
  </r>
  <r>
    <x v="1"/>
    <x v="14"/>
    <x v="1"/>
    <x v="2"/>
    <x v="43"/>
    <n v="116.7"/>
    <n v="343.09999999999997"/>
    <n v="337.1"/>
    <n v="888.30000000000007"/>
    <x v="26"/>
  </r>
  <r>
    <x v="2"/>
    <x v="14"/>
    <x v="1"/>
    <x v="2"/>
    <x v="44"/>
    <n v="115.2"/>
    <n v="346.9"/>
    <n v="338.9"/>
    <n v="888.7"/>
    <x v="24"/>
  </r>
  <r>
    <x v="0"/>
    <x v="15"/>
    <x v="1"/>
    <x v="3"/>
    <x v="45"/>
    <n v="115.4"/>
    <n v="352"/>
    <n v="341"/>
    <n v="891.7"/>
    <x v="39"/>
  </r>
  <r>
    <x v="1"/>
    <x v="15"/>
    <x v="1"/>
    <x v="3"/>
    <x v="46"/>
    <n v="117.6"/>
    <n v="344.5"/>
    <n v="338.20000000000005"/>
    <n v="889.9"/>
    <x v="40"/>
  </r>
  <r>
    <x v="2"/>
    <x v="15"/>
    <x v="1"/>
    <x v="3"/>
    <x v="47"/>
    <n v="116"/>
    <n v="349"/>
    <n v="340"/>
    <n v="891"/>
    <x v="41"/>
  </r>
  <r>
    <x v="0"/>
    <x v="16"/>
    <x v="1"/>
    <x v="4"/>
    <x v="48"/>
    <n v="116.3"/>
    <n v="354"/>
    <n v="341.79999999999995"/>
    <n v="893.39999999999986"/>
    <x v="42"/>
  </r>
  <r>
    <x v="1"/>
    <x v="16"/>
    <x v="1"/>
    <x v="4"/>
    <x v="49"/>
    <n v="118.3"/>
    <n v="345.9"/>
    <n v="339.5"/>
    <n v="892"/>
    <x v="43"/>
  </r>
  <r>
    <x v="2"/>
    <x v="16"/>
    <x v="1"/>
    <x v="4"/>
    <x v="50"/>
    <n v="116.8"/>
    <n v="350.79999999999995"/>
    <n v="340.9"/>
    <n v="893"/>
    <x v="44"/>
  </r>
  <r>
    <x v="0"/>
    <x v="17"/>
    <x v="1"/>
    <x v="5"/>
    <x v="51"/>
    <n v="117.3"/>
    <n v="356.3"/>
    <n v="343.20000000000005"/>
    <n v="898.1"/>
    <x v="45"/>
  </r>
  <r>
    <x v="1"/>
    <x v="17"/>
    <x v="1"/>
    <x v="5"/>
    <x v="52"/>
    <n v="119"/>
    <n v="347.3"/>
    <n v="339.40000000000003"/>
    <n v="897.2"/>
    <x v="46"/>
  </r>
  <r>
    <x v="2"/>
    <x v="17"/>
    <x v="1"/>
    <x v="5"/>
    <x v="53"/>
    <n v="117.8"/>
    <n v="352.7"/>
    <n v="341.70000000000005"/>
    <n v="898.19999999999993"/>
    <x v="47"/>
  </r>
  <r>
    <x v="0"/>
    <x v="18"/>
    <x v="1"/>
    <x v="6"/>
    <x v="54"/>
    <n v="118"/>
    <n v="359.3"/>
    <n v="345.5"/>
    <n v="904.69999999999993"/>
    <x v="48"/>
  </r>
  <r>
    <x v="1"/>
    <x v="18"/>
    <x v="1"/>
    <x v="6"/>
    <x v="55"/>
    <n v="121"/>
    <n v="349"/>
    <n v="341.29999999999995"/>
    <n v="907.2"/>
    <x v="49"/>
  </r>
  <r>
    <x v="2"/>
    <x v="18"/>
    <x v="1"/>
    <x v="6"/>
    <x v="56"/>
    <n v="118.8"/>
    <n v="355"/>
    <n v="343.9"/>
    <n v="906.7"/>
    <x v="50"/>
  </r>
  <r>
    <x v="0"/>
    <x v="19"/>
    <x v="1"/>
    <x v="7"/>
    <x v="57"/>
    <n v="118.8"/>
    <n v="360.4"/>
    <n v="346.8"/>
    <n v="908.69999999999982"/>
    <x v="51"/>
  </r>
  <r>
    <x v="1"/>
    <x v="19"/>
    <x v="1"/>
    <x v="7"/>
    <x v="58"/>
    <n v="123"/>
    <n v="350.6"/>
    <n v="342.6"/>
    <n v="912.59999999999991"/>
    <x v="52"/>
  </r>
  <r>
    <x v="2"/>
    <x v="19"/>
    <x v="1"/>
    <x v="7"/>
    <x v="59"/>
    <n v="119.9"/>
    <n v="356.4"/>
    <n v="345.1"/>
    <n v="911.60000000000014"/>
    <x v="53"/>
  </r>
  <r>
    <x v="0"/>
    <x v="20"/>
    <x v="1"/>
    <x v="8"/>
    <x v="60"/>
    <n v="119.5"/>
    <n v="362.19999999999993"/>
    <n v="348.59999999999997"/>
    <n v="910.40000000000009"/>
    <x v="54"/>
  </r>
  <r>
    <x v="1"/>
    <x v="20"/>
    <x v="1"/>
    <x v="8"/>
    <x v="61"/>
    <n v="124.3"/>
    <n v="352.1"/>
    <n v="343.4"/>
    <n v="912.8"/>
    <x v="50"/>
  </r>
  <r>
    <x v="2"/>
    <x v="20"/>
    <x v="1"/>
    <x v="8"/>
    <x v="62"/>
    <n v="120.8"/>
    <n v="358"/>
    <n v="346.5"/>
    <n v="912.90000000000009"/>
    <x v="55"/>
  </r>
  <r>
    <x v="0"/>
    <x v="21"/>
    <x v="1"/>
    <x v="9"/>
    <x v="63"/>
    <n v="120"/>
    <n v="365.3"/>
    <n v="350.6"/>
    <n v="913.3"/>
    <x v="56"/>
  </r>
  <r>
    <x v="1"/>
    <x v="21"/>
    <x v="1"/>
    <x v="9"/>
    <x v="64"/>
    <n v="124.3"/>
    <n v="353.4"/>
    <n v="344.5"/>
    <n v="914"/>
    <x v="57"/>
  </r>
  <r>
    <x v="2"/>
    <x v="21"/>
    <x v="1"/>
    <x v="9"/>
    <x v="65"/>
    <n v="121.1"/>
    <n v="360.6"/>
    <n v="348.1"/>
    <n v="914.80000000000007"/>
    <x v="55"/>
  </r>
  <r>
    <x v="0"/>
    <x v="22"/>
    <x v="1"/>
    <x v="10"/>
    <x v="66"/>
    <n v="120.8"/>
    <n v="366.70000000000005"/>
    <n v="352.5"/>
    <n v="914.4"/>
    <x v="58"/>
  </r>
  <r>
    <x v="1"/>
    <x v="22"/>
    <x v="1"/>
    <x v="10"/>
    <x v="67"/>
    <n v="125.8"/>
    <n v="355.19999999999993"/>
    <n v="346.1"/>
    <n v="913.3"/>
    <x v="59"/>
  </r>
  <r>
    <x v="2"/>
    <x v="22"/>
    <x v="1"/>
    <x v="10"/>
    <x v="60"/>
    <n v="122.1"/>
    <n v="362.1"/>
    <n v="349.9"/>
    <n v="915"/>
    <x v="55"/>
  </r>
  <r>
    <x v="0"/>
    <x v="23"/>
    <x v="1"/>
    <x v="11"/>
    <x v="68"/>
    <n v="121.7"/>
    <n v="367.70000000000005"/>
    <n v="352.1"/>
    <n v="916.19999999999993"/>
    <x v="53"/>
  </r>
  <r>
    <x v="1"/>
    <x v="23"/>
    <x v="1"/>
    <x v="11"/>
    <x v="69"/>
    <n v="126.4"/>
    <n v="356.5"/>
    <n v="346.3"/>
    <n v="914.69999999999993"/>
    <x v="60"/>
  </r>
  <r>
    <x v="2"/>
    <x v="23"/>
    <x v="1"/>
    <x v="11"/>
    <x v="70"/>
    <n v="123"/>
    <n v="363.2"/>
    <n v="349.7"/>
    <n v="916.8"/>
    <x v="61"/>
  </r>
  <r>
    <x v="0"/>
    <x v="24"/>
    <x v="2"/>
    <x v="0"/>
    <x v="71"/>
    <n v="122.7"/>
    <n v="370"/>
    <n v="354.6"/>
    <n v="919.3"/>
    <x v="53"/>
  </r>
  <r>
    <x v="1"/>
    <x v="24"/>
    <x v="2"/>
    <x v="0"/>
    <x v="72"/>
    <n v="127.4"/>
    <n v="357.30000000000007"/>
    <n v="347.9"/>
    <n v="916.3"/>
    <x v="62"/>
  </r>
  <r>
    <x v="2"/>
    <x v="24"/>
    <x v="2"/>
    <x v="0"/>
    <x v="73"/>
    <n v="124"/>
    <n v="364.9"/>
    <n v="351.9"/>
    <n v="918.80000000000018"/>
    <x v="48"/>
  </r>
  <r>
    <x v="0"/>
    <x v="25"/>
    <x v="2"/>
    <x v="1"/>
    <x v="74"/>
    <n v="124.2"/>
    <n v="373.1"/>
    <n v="357.7"/>
    <n v="924.3"/>
    <x v="63"/>
  </r>
  <r>
    <x v="1"/>
    <x v="25"/>
    <x v="2"/>
    <x v="1"/>
    <x v="75"/>
    <n v="128.1"/>
    <n v="358.4"/>
    <n v="349.8"/>
    <n v="915.60000000000014"/>
    <x v="64"/>
  </r>
  <r>
    <x v="2"/>
    <x v="25"/>
    <x v="2"/>
    <x v="1"/>
    <x v="76"/>
    <n v="125.2"/>
    <n v="367.2"/>
    <n v="354.5"/>
    <n v="920.90000000000009"/>
    <x v="65"/>
  </r>
  <r>
    <x v="0"/>
    <x v="26"/>
    <x v="2"/>
    <x v="2"/>
    <x v="77"/>
    <n v="124.7"/>
    <n v="374.4"/>
    <n v="359.4"/>
    <n v="928.6"/>
    <x v="58"/>
  </r>
  <r>
    <x v="1"/>
    <x v="26"/>
    <x v="2"/>
    <x v="2"/>
    <x v="78"/>
    <n v="128.80000000000001"/>
    <n v="359.5"/>
    <n v="351"/>
    <n v="918.69999999999982"/>
    <x v="57"/>
  </r>
  <r>
    <x v="2"/>
    <x v="26"/>
    <x v="2"/>
    <x v="2"/>
    <x v="79"/>
    <n v="125.8"/>
    <n v="368.4"/>
    <n v="356.09999999999997"/>
    <n v="924.60000000000014"/>
    <x v="66"/>
  </r>
  <r>
    <x v="0"/>
    <x v="27"/>
    <x v="2"/>
    <x v="3"/>
    <x v="80"/>
    <n v="125.7"/>
    <n v="375.69999999999993"/>
    <n v="361.3"/>
    <n v="932.69999999999993"/>
    <x v="67"/>
  </r>
  <r>
    <x v="1"/>
    <x v="27"/>
    <x v="2"/>
    <x v="3"/>
    <x v="81"/>
    <n v="130.1"/>
    <n v="360.6"/>
    <n v="352.3"/>
    <n v="922.60000000000014"/>
    <x v="65"/>
  </r>
  <r>
    <x v="2"/>
    <x v="27"/>
    <x v="2"/>
    <x v="3"/>
    <x v="82"/>
    <n v="126.9"/>
    <n v="369.6"/>
    <n v="357.6"/>
    <n v="929.00000000000011"/>
    <x v="51"/>
  </r>
  <r>
    <x v="0"/>
    <x v="28"/>
    <x v="2"/>
    <x v="4"/>
    <x v="83"/>
    <n v="126.7"/>
    <n v="378.2"/>
    <n v="363"/>
    <n v="938.99999999999989"/>
    <x v="68"/>
  </r>
  <r>
    <x v="1"/>
    <x v="28"/>
    <x v="2"/>
    <x v="4"/>
    <x v="84"/>
    <n v="131.30000000000001"/>
    <n v="361.4"/>
    <n v="353.2"/>
    <n v="928.19999999999993"/>
    <x v="51"/>
  </r>
  <r>
    <x v="2"/>
    <x v="28"/>
    <x v="2"/>
    <x v="4"/>
    <x v="85"/>
    <n v="127.9"/>
    <n v="371.4"/>
    <n v="359"/>
    <n v="934.9"/>
    <x v="69"/>
  </r>
  <r>
    <x v="0"/>
    <x v="29"/>
    <x v="2"/>
    <x v="5"/>
    <x v="86"/>
    <n v="128.19999999999999"/>
    <n v="381.5"/>
    <n v="364.4"/>
    <n v="947.8"/>
    <x v="70"/>
  </r>
  <r>
    <x v="1"/>
    <x v="29"/>
    <x v="2"/>
    <x v="5"/>
    <x v="87"/>
    <n v="132.1"/>
    <n v="363.1"/>
    <n v="353.3"/>
    <n v="934.8"/>
    <x v="71"/>
  </r>
  <r>
    <x v="2"/>
    <x v="29"/>
    <x v="2"/>
    <x v="5"/>
    <x v="88"/>
    <n v="129.19999999999999"/>
    <n v="374.1"/>
    <n v="359.9"/>
    <n v="942.8"/>
    <x v="72"/>
  </r>
  <r>
    <x v="0"/>
    <x v="30"/>
    <x v="2"/>
    <x v="6"/>
    <x v="89"/>
    <n v="129.4"/>
    <n v="382.6"/>
    <n v="365.9"/>
    <n v="950.3"/>
    <x v="73"/>
  </r>
  <r>
    <x v="1"/>
    <x v="30"/>
    <x v="2"/>
    <x v="6"/>
    <x v="90"/>
    <n v="133.1"/>
    <n v="364.1"/>
    <n v="354.7"/>
    <n v="938.9"/>
    <x v="68"/>
  </r>
  <r>
    <x v="2"/>
    <x v="30"/>
    <x v="2"/>
    <x v="6"/>
    <x v="91"/>
    <n v="130.4"/>
    <n v="375.1"/>
    <n v="361.3"/>
    <n v="946.19999999999993"/>
    <x v="74"/>
  </r>
  <r>
    <x v="0"/>
    <x v="31"/>
    <x v="2"/>
    <x v="7"/>
    <x v="92"/>
    <n v="130.1"/>
    <n v="384.8"/>
    <n v="368.4"/>
    <n v="952.2"/>
    <x v="75"/>
  </r>
  <r>
    <x v="1"/>
    <x v="31"/>
    <x v="2"/>
    <x v="7"/>
    <x v="93"/>
    <n v="134.19999999999999"/>
    <n v="364.8"/>
    <n v="356.2"/>
    <n v="940.90000000000009"/>
    <x v="76"/>
  </r>
  <r>
    <x v="2"/>
    <x v="31"/>
    <x v="2"/>
    <x v="7"/>
    <x v="94"/>
    <n v="131.19999999999999"/>
    <n v="376.70000000000005"/>
    <n v="363.5"/>
    <n v="948"/>
    <x v="77"/>
  </r>
  <r>
    <x v="0"/>
    <x v="32"/>
    <x v="2"/>
    <x v="8"/>
    <x v="95"/>
    <n v="131"/>
    <n v="387.1"/>
    <n v="369.8"/>
    <n v="957.69999999999993"/>
    <x v="78"/>
  </r>
  <r>
    <x v="1"/>
    <x v="32"/>
    <x v="2"/>
    <x v="8"/>
    <x v="96"/>
    <n v="134.69999999999999"/>
    <n v="365.80000000000007"/>
    <n v="357.1"/>
    <n v="942.7"/>
    <x v="79"/>
  </r>
  <r>
    <x v="2"/>
    <x v="32"/>
    <x v="2"/>
    <x v="8"/>
    <x v="97"/>
    <n v="132"/>
    <n v="378.5"/>
    <n v="364.6"/>
    <n v="951.5"/>
    <x v="80"/>
  </r>
  <r>
    <x v="0"/>
    <x v="33"/>
    <x v="2"/>
    <x v="9"/>
    <x v="98"/>
    <n v="131.5"/>
    <n v="389"/>
    <n v="371.9"/>
    <n v="961.50000000000011"/>
    <x v="81"/>
  </r>
  <r>
    <x v="1"/>
    <x v="33"/>
    <x v="2"/>
    <x v="9"/>
    <x v="99"/>
    <n v="135.30000000000001"/>
    <n v="366.79999999999995"/>
    <n v="358"/>
    <n v="945.40000000000009"/>
    <x v="82"/>
  </r>
  <r>
    <x v="2"/>
    <x v="33"/>
    <x v="2"/>
    <x v="9"/>
    <x v="100"/>
    <n v="132.5"/>
    <n v="380.1"/>
    <n v="366.2"/>
    <n v="954.5"/>
    <x v="75"/>
  </r>
  <r>
    <x v="0"/>
    <x v="34"/>
    <x v="2"/>
    <x v="10"/>
    <x v="101"/>
    <n v="132.19999999999999"/>
    <n v="391.79999999999995"/>
    <n v="374.1"/>
    <n v="965.5"/>
    <x v="83"/>
  </r>
  <r>
    <x v="1"/>
    <x v="34"/>
    <x v="2"/>
    <x v="10"/>
    <x v="102"/>
    <n v="137.6"/>
    <n v="368.5"/>
    <n v="359"/>
    <n v="946.5"/>
    <x v="84"/>
  </r>
  <r>
    <x v="2"/>
    <x v="34"/>
    <x v="2"/>
    <x v="10"/>
    <x v="103"/>
    <n v="133.6"/>
    <n v="382.4"/>
    <n v="367.9"/>
    <n v="957"/>
    <x v="85"/>
  </r>
  <r>
    <x v="0"/>
    <x v="35"/>
    <x v="2"/>
    <x v="11"/>
    <x v="104"/>
    <n v="133.1"/>
    <n v="392.9"/>
    <n v="374.1"/>
    <n v="966.89999999999986"/>
    <x v="86"/>
  </r>
  <r>
    <x v="1"/>
    <x v="35"/>
    <x v="2"/>
    <x v="11"/>
    <x v="105"/>
    <n v="138.19999999999999"/>
    <n v="369.4"/>
    <n v="359.4"/>
    <n v="947.7"/>
    <x v="87"/>
  </r>
  <r>
    <x v="2"/>
    <x v="35"/>
    <x v="2"/>
    <x v="11"/>
    <x v="106"/>
    <n v="134.5"/>
    <n v="383.5"/>
    <n v="368"/>
    <n v="958.30000000000007"/>
    <x v="75"/>
  </r>
  <r>
    <x v="0"/>
    <x v="36"/>
    <x v="3"/>
    <x v="0"/>
    <x v="107"/>
    <n v="133.6"/>
    <n v="394.70000000000005"/>
    <n v="376.20000000000005"/>
    <n v="969.8"/>
    <x v="88"/>
  </r>
  <r>
    <x v="1"/>
    <x v="36"/>
    <x v="3"/>
    <x v="0"/>
    <x v="108"/>
    <n v="139.5"/>
    <n v="370.5"/>
    <n v="361.9"/>
    <n v="949.19999999999993"/>
    <x v="82"/>
  </r>
  <r>
    <x v="2"/>
    <x v="36"/>
    <x v="3"/>
    <x v="0"/>
    <x v="109"/>
    <n v="135.19999999999999"/>
    <n v="384.9"/>
    <n v="370.3"/>
    <n v="960.5"/>
    <x v="89"/>
  </r>
  <r>
    <x v="0"/>
    <x v="37"/>
    <x v="3"/>
    <x v="1"/>
    <x v="110"/>
    <n v="134.4"/>
    <n v="397.09999999999997"/>
    <n v="379"/>
    <n v="976.69999999999993"/>
    <x v="86"/>
  </r>
  <r>
    <x v="1"/>
    <x v="37"/>
    <x v="3"/>
    <x v="1"/>
    <x v="111"/>
    <n v="140"/>
    <n v="371.6"/>
    <n v="362.2"/>
    <n v="952.90000000000009"/>
    <x v="90"/>
  </r>
  <r>
    <x v="2"/>
    <x v="37"/>
    <x v="3"/>
    <x v="1"/>
    <x v="112"/>
    <n v="135.9"/>
    <n v="386.9"/>
    <n v="372.1"/>
    <n v="965.6"/>
    <x v="91"/>
  </r>
  <r>
    <x v="0"/>
    <x v="38"/>
    <x v="3"/>
    <x v="2"/>
    <x v="113"/>
    <n v="135"/>
    <n v="398.40000000000009"/>
    <n v="379.6"/>
    <n v="979.2"/>
    <x v="92"/>
  </r>
  <r>
    <x v="1"/>
    <x v="38"/>
    <x v="3"/>
    <x v="2"/>
    <x v="114"/>
    <n v="140.6"/>
    <n v="372.19999999999993"/>
    <n v="362"/>
    <n v="954.2"/>
    <x v="90"/>
  </r>
  <r>
    <x v="2"/>
    <x v="38"/>
    <x v="3"/>
    <x v="2"/>
    <x v="115"/>
    <n v="136.5"/>
    <n v="387.9"/>
    <n v="372.4"/>
    <n v="967.7"/>
    <x v="91"/>
  </r>
  <r>
    <x v="0"/>
    <x v="39"/>
    <x v="3"/>
    <x v="3"/>
    <x v="116"/>
    <n v="135.5"/>
    <n v="400"/>
    <n v="380.6"/>
    <n v="983.9"/>
    <x v="93"/>
  </r>
  <r>
    <x v="1"/>
    <x v="39"/>
    <x v="3"/>
    <x v="3"/>
    <x v="117"/>
    <n v="141.5"/>
    <n v="373.1"/>
    <n v="363"/>
    <n v="960.50000000000011"/>
    <x v="94"/>
  </r>
  <r>
    <x v="2"/>
    <x v="39"/>
    <x v="3"/>
    <x v="3"/>
    <x v="118"/>
    <n v="137.1"/>
    <n v="389.20000000000005"/>
    <n v="373.4"/>
    <n v="973.1"/>
    <x v="95"/>
  </r>
  <r>
    <x v="0"/>
    <x v="40"/>
    <x v="3"/>
    <x v="4"/>
    <x v="119"/>
    <n v="136"/>
    <n v="401.3"/>
    <n v="381.9"/>
    <n v="990.7"/>
    <x v="96"/>
  </r>
  <r>
    <x v="1"/>
    <x v="40"/>
    <x v="3"/>
    <x v="4"/>
    <x v="120"/>
    <n v="142.19999999999999"/>
    <n v="374.1"/>
    <n v="364.2"/>
    <n v="964.3"/>
    <x v="85"/>
  </r>
  <r>
    <x v="2"/>
    <x v="40"/>
    <x v="3"/>
    <x v="4"/>
    <x v="121"/>
    <n v="137.69999999999999"/>
    <n v="390.4"/>
    <n v="374.7"/>
    <n v="978.60000000000014"/>
    <x v="97"/>
  </r>
  <r>
    <x v="0"/>
    <x v="41"/>
    <x v="3"/>
    <x v="5"/>
    <x v="122"/>
    <n v="137.19999999999999"/>
    <n v="403.5"/>
    <n v="382.8"/>
    <n v="996.39999999999986"/>
    <x v="98"/>
  </r>
  <r>
    <x v="1"/>
    <x v="41"/>
    <x v="3"/>
    <x v="5"/>
    <x v="123"/>
    <n v="142.69999999999999"/>
    <n v="375.29999999999995"/>
    <n v="364.2"/>
    <n v="970.4"/>
    <x v="88"/>
  </r>
  <r>
    <x v="2"/>
    <x v="41"/>
    <x v="3"/>
    <x v="5"/>
    <x v="124"/>
    <n v="138.69999999999999"/>
    <n v="392.1"/>
    <n v="375.20000000000005"/>
    <n v="984.4"/>
    <x v="99"/>
  </r>
  <r>
    <x v="0"/>
    <x v="42"/>
    <x v="3"/>
    <x v="6"/>
    <x v="125"/>
    <n v="138"/>
    <n v="405.9"/>
    <n v="384.6"/>
    <n v="1001.3"/>
    <x v="100"/>
  </r>
  <r>
    <x v="1"/>
    <x v="42"/>
    <x v="3"/>
    <x v="6"/>
    <x v="126"/>
    <n v="142.9"/>
    <n v="375.9"/>
    <n v="365.4"/>
    <n v="975.30000000000007"/>
    <x v="93"/>
  </r>
  <r>
    <x v="2"/>
    <x v="42"/>
    <x v="3"/>
    <x v="6"/>
    <x v="127"/>
    <n v="139.30000000000001"/>
    <n v="393.79999999999995"/>
    <n v="376.70000000000005"/>
    <n v="989.3"/>
    <x v="101"/>
  </r>
  <r>
    <x v="0"/>
    <x v="43"/>
    <x v="3"/>
    <x v="7"/>
    <x v="128"/>
    <n v="138.9"/>
    <n v="407.9"/>
    <n v="387"/>
    <n v="1005.5"/>
    <x v="102"/>
  </r>
  <r>
    <x v="1"/>
    <x v="43"/>
    <x v="3"/>
    <x v="7"/>
    <x v="129"/>
    <n v="143.6"/>
    <n v="377"/>
    <n v="365.9"/>
    <n v="977.2"/>
    <x v="103"/>
  </r>
  <r>
    <x v="2"/>
    <x v="43"/>
    <x v="3"/>
    <x v="7"/>
    <x v="130"/>
    <n v="140.19999999999999"/>
    <n v="395.5"/>
    <n v="378.29999999999995"/>
    <n v="992.4"/>
    <x v="101"/>
  </r>
  <r>
    <x v="0"/>
    <x v="44"/>
    <x v="3"/>
    <x v="8"/>
    <x v="131"/>
    <n v="139.9"/>
    <n v="409.8"/>
    <n v="388.70000000000005"/>
    <n v="1010.4"/>
    <x v="104"/>
  </r>
  <r>
    <x v="1"/>
    <x v="44"/>
    <x v="3"/>
    <x v="8"/>
    <x v="132"/>
    <n v="143.9"/>
    <n v="378"/>
    <n v="367"/>
    <n v="980.30000000000007"/>
    <x v="92"/>
  </r>
  <r>
    <x v="2"/>
    <x v="44"/>
    <x v="3"/>
    <x v="8"/>
    <x v="133"/>
    <n v="141"/>
    <n v="397"/>
    <n v="379.9"/>
    <n v="996.50000000000011"/>
    <x v="105"/>
  </r>
  <r>
    <x v="0"/>
    <x v="45"/>
    <x v="3"/>
    <x v="9"/>
    <x v="134"/>
    <n v="140.9"/>
    <n v="412.70000000000005"/>
    <n v="390.3"/>
    <n v="1016.4000000000001"/>
    <x v="106"/>
  </r>
  <r>
    <x v="1"/>
    <x v="45"/>
    <x v="3"/>
    <x v="9"/>
    <x v="135"/>
    <n v="144.30000000000001"/>
    <n v="379"/>
    <n v="368.4"/>
    <n v="983.09999999999991"/>
    <x v="97"/>
  </r>
  <r>
    <x v="2"/>
    <x v="45"/>
    <x v="3"/>
    <x v="9"/>
    <x v="136"/>
    <n v="141.80000000000001"/>
    <n v="399.1"/>
    <n v="381.4"/>
    <n v="1001.2"/>
    <x v="107"/>
  </r>
  <r>
    <x v="0"/>
    <x v="46"/>
    <x v="3"/>
    <x v="10"/>
    <x v="137"/>
    <n v="141.19999999999999"/>
    <n v="413.59999999999991"/>
    <n v="391.5"/>
    <n v="1020.3"/>
    <x v="108"/>
  </r>
  <r>
    <x v="1"/>
    <x v="46"/>
    <x v="3"/>
    <x v="10"/>
    <x v="138"/>
    <n v="144.30000000000001"/>
    <n v="380.2"/>
    <n v="370"/>
    <n v="986.09999999999991"/>
    <x v="109"/>
  </r>
  <r>
    <x v="2"/>
    <x v="46"/>
    <x v="3"/>
    <x v="10"/>
    <x v="139"/>
    <n v="142"/>
    <n v="400.1"/>
    <n v="382.7"/>
    <n v="1004.5000000000001"/>
    <x v="110"/>
  </r>
  <r>
    <x v="0"/>
    <x v="47"/>
    <x v="3"/>
    <x v="11"/>
    <x v="140"/>
    <n v="142.4"/>
    <n v="415.30000000000007"/>
    <n v="393.4"/>
    <n v="1021.9"/>
    <x v="111"/>
  </r>
  <r>
    <x v="1"/>
    <x v="47"/>
    <x v="3"/>
    <x v="11"/>
    <x v="141"/>
    <n v="145"/>
    <n v="381"/>
    <n v="371.3"/>
    <n v="986"/>
    <x v="112"/>
  </r>
  <r>
    <x v="2"/>
    <x v="47"/>
    <x v="3"/>
    <x v="11"/>
    <x v="142"/>
    <n v="143.1"/>
    <n v="401.5"/>
    <n v="384.29999999999995"/>
    <n v="1005.2"/>
    <x v="113"/>
  </r>
  <r>
    <x v="0"/>
    <x v="48"/>
    <x v="4"/>
    <x v="0"/>
    <x v="143"/>
    <n v="143.1"/>
    <n v="416.49999999999994"/>
    <n v="394.9"/>
    <n v="1024"/>
    <x v="114"/>
  </r>
  <r>
    <x v="1"/>
    <x v="48"/>
    <x v="4"/>
    <x v="0"/>
    <x v="144"/>
    <n v="145.6"/>
    <n v="381.5"/>
    <n v="372.7"/>
    <n v="990.19999999999993"/>
    <x v="115"/>
  </r>
  <r>
    <x v="2"/>
    <x v="48"/>
    <x v="4"/>
    <x v="0"/>
    <x v="145"/>
    <n v="143.80000000000001"/>
    <n v="402.40000000000003"/>
    <n v="385.79999999999995"/>
    <n v="1008.1"/>
    <x v="96"/>
  </r>
  <r>
    <x v="0"/>
    <x v="49"/>
    <x v="4"/>
    <x v="1"/>
    <x v="146"/>
    <n v="143.69999999999999"/>
    <n v="416.90000000000003"/>
    <n v="397.29999999999995"/>
    <n v="1027.4000000000001"/>
    <x v="116"/>
  </r>
  <r>
    <x v="1"/>
    <x v="49"/>
    <x v="4"/>
    <x v="1"/>
    <x v="147"/>
    <n v="146.30000000000001"/>
    <n v="382.3"/>
    <n v="375"/>
    <n v="992.40000000000009"/>
    <x v="117"/>
  </r>
  <r>
    <x v="2"/>
    <x v="49"/>
    <x v="4"/>
    <x v="1"/>
    <x v="148"/>
    <n v="144.4"/>
    <n v="403"/>
    <n v="388.09999999999997"/>
    <n v="1011"/>
    <x v="118"/>
  </r>
  <r>
    <x v="0"/>
    <x v="50"/>
    <x v="4"/>
    <x v="2"/>
    <x v="149"/>
    <n v="144.19999999999999"/>
    <n v="418.59999999999997"/>
    <n v="399.4"/>
    <n v="1030.3999999999999"/>
    <x v="111"/>
  </r>
  <r>
    <x v="1"/>
    <x v="50"/>
    <x v="4"/>
    <x v="2"/>
    <x v="150"/>
    <n v="147.5"/>
    <n v="383.20000000000005"/>
    <n v="377.5"/>
    <n v="994.1"/>
    <x v="119"/>
  </r>
  <r>
    <x v="2"/>
    <x v="50"/>
    <x v="4"/>
    <x v="2"/>
    <x v="151"/>
    <n v="145.1"/>
    <n v="404.29999999999995"/>
    <n v="390.29999999999995"/>
    <n v="1013.5000000000001"/>
    <x v="105"/>
  </r>
  <r>
    <x v="0"/>
    <x v="51"/>
    <x v="4"/>
    <x v="3"/>
    <x v="152"/>
    <n v="144.4"/>
    <n v="420.80000000000013"/>
    <n v="401"/>
    <n v="1032.1000000000001"/>
    <x v="120"/>
  </r>
  <r>
    <x v="1"/>
    <x v="51"/>
    <x v="4"/>
    <x v="3"/>
    <x v="153"/>
    <n v="148"/>
    <n v="384.2"/>
    <n v="379.1"/>
    <n v="995.6"/>
    <x v="121"/>
  </r>
  <r>
    <x v="2"/>
    <x v="51"/>
    <x v="4"/>
    <x v="3"/>
    <x v="154"/>
    <n v="145.4"/>
    <n v="406.1"/>
    <n v="391.9"/>
    <n v="1015.1000000000001"/>
    <x v="101"/>
  </r>
  <r>
    <x v="0"/>
    <x v="52"/>
    <x v="4"/>
    <x v="4"/>
    <x v="155"/>
    <n v="145.5"/>
    <n v="421.60000000000008"/>
    <n v="402"/>
    <n v="1035.8000000000002"/>
    <x v="122"/>
  </r>
  <r>
    <x v="1"/>
    <x v="52"/>
    <x v="4"/>
    <x v="4"/>
    <x v="156"/>
    <n v="148.30000000000001"/>
    <n v="384.9"/>
    <n v="378.7"/>
    <n v="996.5"/>
    <x v="123"/>
  </r>
  <r>
    <x v="2"/>
    <x v="52"/>
    <x v="4"/>
    <x v="4"/>
    <x v="157"/>
    <n v="146.19999999999999"/>
    <n v="406.79999999999995"/>
    <n v="392.4"/>
    <n v="1017.1"/>
    <x v="107"/>
  </r>
  <r>
    <x v="0"/>
    <x v="53"/>
    <x v="4"/>
    <x v="5"/>
    <x v="158"/>
    <n v="145.80000000000001"/>
    <n v="423.09999999999991"/>
    <n v="401.40000000000003"/>
    <n v="1037.8000000000002"/>
    <x v="124"/>
  </r>
  <r>
    <x v="1"/>
    <x v="53"/>
    <x v="4"/>
    <x v="5"/>
    <x v="159"/>
    <n v="148.6"/>
    <n v="384.9"/>
    <n v="377.2"/>
    <n v="998.2"/>
    <x v="125"/>
  </r>
  <r>
    <x v="2"/>
    <x v="53"/>
    <x v="4"/>
    <x v="5"/>
    <x v="160"/>
    <n v="146.5"/>
    <n v="407.70000000000005"/>
    <n v="391.40000000000003"/>
    <n v="1019.0999999999999"/>
    <x v="126"/>
  </r>
  <r>
    <x v="0"/>
    <x v="54"/>
    <x v="4"/>
    <x v="6"/>
    <x v="161"/>
    <n v="147.4"/>
    <n v="425.9"/>
    <n v="404"/>
    <n v="1044.0999999999999"/>
    <x v="127"/>
  </r>
  <r>
    <x v="1"/>
    <x v="54"/>
    <x v="4"/>
    <x v="6"/>
    <x v="162"/>
    <n v="150.5"/>
    <n v="385.70000000000005"/>
    <n v="379.5"/>
    <n v="1003.1"/>
    <x v="128"/>
  </r>
  <r>
    <x v="2"/>
    <x v="54"/>
    <x v="4"/>
    <x v="6"/>
    <x v="163"/>
    <n v="148.19999999999999"/>
    <n v="409.69999999999993"/>
    <n v="393.9"/>
    <n v="1024.5"/>
    <x v="129"/>
  </r>
  <r>
    <x v="0"/>
    <x v="55"/>
    <x v="4"/>
    <x v="7"/>
    <x v="164"/>
    <n v="149"/>
    <n v="429"/>
    <n v="408.1"/>
    <n v="1053.3"/>
    <x v="130"/>
  </r>
  <r>
    <x v="1"/>
    <x v="55"/>
    <x v="4"/>
    <x v="7"/>
    <x v="165"/>
    <n v="152.1"/>
    <n v="388.4"/>
    <n v="381"/>
    <n v="1008.5999999999999"/>
    <x v="131"/>
  </r>
  <r>
    <x v="2"/>
    <x v="55"/>
    <x v="4"/>
    <x v="7"/>
    <x v="166"/>
    <n v="149.80000000000001"/>
    <n v="412.6"/>
    <n v="397.00000000000006"/>
    <n v="1031.5"/>
    <x v="132"/>
  </r>
  <r>
    <x v="0"/>
    <x v="56"/>
    <x v="4"/>
    <x v="8"/>
    <x v="167"/>
    <n v="149.80000000000001"/>
    <n v="430.99999999999994"/>
    <n v="411"/>
    <n v="1056.5"/>
    <x v="133"/>
  </r>
  <r>
    <x v="1"/>
    <x v="56"/>
    <x v="4"/>
    <x v="8"/>
    <x v="168"/>
    <n v="153.6"/>
    <n v="389.9"/>
    <n v="384.4"/>
    <n v="1013.1"/>
    <x v="114"/>
  </r>
  <r>
    <x v="2"/>
    <x v="56"/>
    <x v="4"/>
    <x v="8"/>
    <x v="169"/>
    <n v="150.80000000000001"/>
    <n v="414.50000000000006"/>
    <n v="400"/>
    <n v="1035.4000000000001"/>
    <x v="134"/>
  </r>
  <r>
    <x v="0"/>
    <x v="57"/>
    <x v="4"/>
    <x v="9"/>
    <x v="170"/>
    <n v="150.5"/>
    <n v="434"/>
    <n v="413.79999999999995"/>
    <n v="1060.6999999999998"/>
    <x v="135"/>
  </r>
  <r>
    <x v="1"/>
    <x v="57"/>
    <x v="4"/>
    <x v="9"/>
    <x v="171"/>
    <n v="154.6"/>
    <n v="391.5"/>
    <n v="388.2"/>
    <n v="1014.7"/>
    <x v="102"/>
  </r>
  <r>
    <x v="2"/>
    <x v="57"/>
    <x v="4"/>
    <x v="9"/>
    <x v="172"/>
    <n v="151.6"/>
    <n v="416.90000000000003"/>
    <n v="403.1"/>
    <n v="1038.5000000000002"/>
    <x v="136"/>
  </r>
  <r>
    <x v="0"/>
    <x v="58"/>
    <x v="4"/>
    <x v="10"/>
    <x v="173"/>
    <n v="152.1"/>
    <n v="437"/>
    <n v="419.1"/>
    <n v="1069.7"/>
    <x v="137"/>
  </r>
  <r>
    <x v="1"/>
    <x v="58"/>
    <x v="4"/>
    <x v="10"/>
    <x v="174"/>
    <n v="156.19999999999999"/>
    <n v="393.9"/>
    <n v="393.1"/>
    <n v="1018.1999999999999"/>
    <x v="138"/>
  </r>
  <r>
    <x v="2"/>
    <x v="58"/>
    <x v="4"/>
    <x v="10"/>
    <x v="175"/>
    <n v="153.19999999999999"/>
    <n v="419.59999999999997"/>
    <n v="408.29999999999995"/>
    <n v="1044.8"/>
    <x v="133"/>
  </r>
  <r>
    <x v="0"/>
    <x v="59"/>
    <x v="4"/>
    <x v="11"/>
    <x v="176"/>
    <n v="153.19999999999999"/>
    <n v="437.09999999999997"/>
    <n v="421.2"/>
    <n v="1069.5"/>
    <x v="139"/>
  </r>
  <r>
    <x v="1"/>
    <x v="59"/>
    <x v="4"/>
    <x v="11"/>
    <x v="177"/>
    <n v="157"/>
    <n v="395.19999999999993"/>
    <n v="395.2"/>
    <n v="1020.4"/>
    <x v="140"/>
  </r>
  <r>
    <x v="2"/>
    <x v="59"/>
    <x v="4"/>
    <x v="11"/>
    <x v="178"/>
    <n v="154.19999999999999"/>
    <n v="420.20000000000005"/>
    <n v="410.4"/>
    <n v="1045.8000000000002"/>
    <x v="141"/>
  </r>
  <r>
    <x v="0"/>
    <x v="60"/>
    <x v="5"/>
    <x v="0"/>
    <x v="179"/>
    <n v="153.6"/>
    <n v="438.1"/>
    <n v="422.50000000000006"/>
    <n v="1073.1000000000001"/>
    <x v="142"/>
  </r>
  <r>
    <x v="1"/>
    <x v="60"/>
    <x v="5"/>
    <x v="0"/>
    <x v="180"/>
    <n v="157.69999999999999"/>
    <n v="396.29999999999995"/>
    <n v="397.2"/>
    <n v="1026"/>
    <x v="140"/>
  </r>
  <r>
    <x v="2"/>
    <x v="60"/>
    <x v="5"/>
    <x v="0"/>
    <x v="181"/>
    <n v="154.69999999999999"/>
    <n v="421.3"/>
    <n v="411.9"/>
    <n v="1050"/>
    <x v="143"/>
  </r>
  <r>
    <x v="0"/>
    <x v="61"/>
    <x v="5"/>
    <x v="1"/>
    <x v="182"/>
    <n v="153.30000000000001"/>
    <n v="438.90000000000003"/>
    <n v="423.6"/>
    <n v="1074.3"/>
    <x v="144"/>
  </r>
  <r>
    <x v="1"/>
    <x v="61"/>
    <x v="5"/>
    <x v="1"/>
    <x v="183"/>
    <n v="159.30000000000001"/>
    <n v="397.09999999999997"/>
    <n v="398.5"/>
    <n v="1030.5999999999999"/>
    <x v="145"/>
  </r>
  <r>
    <x v="2"/>
    <x v="61"/>
    <x v="5"/>
    <x v="1"/>
    <x v="184"/>
    <n v="154.9"/>
    <n v="422.00000000000006"/>
    <n v="413.2"/>
    <n v="1053"/>
    <x v="146"/>
  </r>
  <r>
    <x v="0"/>
    <x v="62"/>
    <x v="5"/>
    <x v="2"/>
    <x v="185"/>
    <n v="155.1"/>
    <n v="440.49999999999994"/>
    <n v="424.5"/>
    <n v="1081.0999999999999"/>
    <x v="147"/>
  </r>
  <r>
    <x v="1"/>
    <x v="62"/>
    <x v="5"/>
    <x v="2"/>
    <x v="186"/>
    <n v="159.69999999999999"/>
    <n v="398.59999999999997"/>
    <n v="399.2"/>
    <n v="1035"/>
    <x v="145"/>
  </r>
  <r>
    <x v="2"/>
    <x v="62"/>
    <x v="5"/>
    <x v="2"/>
    <x v="187"/>
    <n v="156.30000000000001"/>
    <n v="423.59999999999997"/>
    <n v="414.1"/>
    <n v="1058.0999999999999"/>
    <x v="148"/>
  </r>
  <r>
    <x v="0"/>
    <x v="63"/>
    <x v="5"/>
    <x v="3"/>
    <x v="188"/>
    <n v="156.1"/>
    <n v="442.5"/>
    <n v="427.6"/>
    <n v="1088.5"/>
    <x v="149"/>
  </r>
  <r>
    <x v="1"/>
    <x v="63"/>
    <x v="5"/>
    <x v="3"/>
    <x v="189"/>
    <n v="159.19999999999999"/>
    <n v="401.4"/>
    <n v="399.3"/>
    <n v="1044.3000000000002"/>
    <x v="138"/>
  </r>
  <r>
    <x v="2"/>
    <x v="63"/>
    <x v="5"/>
    <x v="3"/>
    <x v="190"/>
    <n v="156.9"/>
    <n v="426.00000000000006"/>
    <n v="416"/>
    <n v="1066.9000000000001"/>
    <x v="150"/>
  </r>
  <r>
    <x v="0"/>
    <x v="64"/>
    <x v="5"/>
    <x v="4"/>
    <x v="191"/>
    <n v="157"/>
    <n v="444.7"/>
    <n v="429.3"/>
    <n v="1095.0999999999999"/>
    <x v="139"/>
  </r>
  <r>
    <x v="1"/>
    <x v="64"/>
    <x v="5"/>
    <x v="4"/>
    <x v="192"/>
    <n v="160.30000000000001"/>
    <n v="403.5"/>
    <n v="400.4"/>
    <n v="1049.5999999999999"/>
    <x v="132"/>
  </r>
  <r>
    <x v="2"/>
    <x v="64"/>
    <x v="5"/>
    <x v="4"/>
    <x v="139"/>
    <n v="157.9"/>
    <n v="428.1"/>
    <n v="417.5"/>
    <n v="1072.9000000000001"/>
    <x v="130"/>
  </r>
  <r>
    <x v="0"/>
    <x v="65"/>
    <x v="5"/>
    <x v="5"/>
    <x v="193"/>
    <n v="157.30000000000001"/>
    <n v="446.30000000000007"/>
    <n v="429.8"/>
    <n v="1099.2"/>
    <x v="151"/>
  </r>
  <r>
    <x v="1"/>
    <x v="65"/>
    <x v="5"/>
    <x v="5"/>
    <x v="194"/>
    <n v="161"/>
    <n v="405.00000000000006"/>
    <n v="402.1"/>
    <n v="1054.1999999999998"/>
    <x v="127"/>
  </r>
  <r>
    <x v="2"/>
    <x v="65"/>
    <x v="5"/>
    <x v="5"/>
    <x v="195"/>
    <n v="158.30000000000001"/>
    <n v="429.69999999999993"/>
    <n v="418.5"/>
    <n v="1077"/>
    <x v="144"/>
  </r>
  <r>
    <x v="0"/>
    <x v="66"/>
    <x v="5"/>
    <x v="6"/>
    <x v="196"/>
    <n v="156.1"/>
    <n v="447.20000000000005"/>
    <n v="433.5"/>
    <n v="1102.9000000000001"/>
    <x v="152"/>
  </r>
  <r>
    <x v="1"/>
    <x v="66"/>
    <x v="5"/>
    <x v="6"/>
    <x v="197"/>
    <n v="161.4"/>
    <n v="406.39999999999992"/>
    <n v="405.29999999999995"/>
    <n v="1062.7000000000003"/>
    <x v="153"/>
  </r>
  <r>
    <x v="2"/>
    <x v="66"/>
    <x v="5"/>
    <x v="6"/>
    <x v="198"/>
    <n v="157.5"/>
    <n v="430.80000000000007"/>
    <n v="421.9"/>
    <n v="1083.3999999999999"/>
    <x v="139"/>
  </r>
  <r>
    <x v="0"/>
    <x v="67"/>
    <x v="5"/>
    <x v="7"/>
    <x v="199"/>
    <n v="156.4"/>
    <n v="449.2"/>
    <n v="436.09999999999997"/>
    <n v="1107.4000000000001"/>
    <x v="154"/>
  </r>
  <r>
    <x v="1"/>
    <x v="67"/>
    <x v="5"/>
    <x v="7"/>
    <x v="200"/>
    <n v="162.1"/>
    <n v="407.3"/>
    <n v="408.79999999999995"/>
    <n v="1070.2"/>
    <x v="155"/>
  </r>
  <r>
    <x v="2"/>
    <x v="67"/>
    <x v="5"/>
    <x v="7"/>
    <x v="201"/>
    <n v="157.9"/>
    <n v="432.20000000000005"/>
    <n v="424.9"/>
    <n v="1089.3"/>
    <x v="156"/>
  </r>
  <r>
    <x v="0"/>
    <x v="68"/>
    <x v="5"/>
    <x v="8"/>
    <x v="202"/>
    <n v="157.69999999999999"/>
    <n v="449.5"/>
    <n v="438.3"/>
    <n v="1114.5"/>
    <x v="157"/>
  </r>
  <r>
    <x v="1"/>
    <x v="68"/>
    <x v="5"/>
    <x v="8"/>
    <x v="203"/>
    <n v="163.30000000000001"/>
    <n v="409.2"/>
    <n v="411.4"/>
    <n v="1075.6999999999998"/>
    <x v="158"/>
  </r>
  <r>
    <x v="2"/>
    <x v="68"/>
    <x v="5"/>
    <x v="8"/>
    <x v="204"/>
    <n v="159.19999999999999"/>
    <n v="433.29999999999995"/>
    <n v="427.3"/>
    <n v="1095.3"/>
    <x v="159"/>
  </r>
  <r>
    <x v="0"/>
    <x v="69"/>
    <x v="5"/>
    <x v="9"/>
    <x v="205"/>
    <n v="159.6"/>
    <n v="445"/>
    <n v="443.5"/>
    <n v="1130.7"/>
    <x v="160"/>
  </r>
  <r>
    <x v="1"/>
    <x v="69"/>
    <x v="5"/>
    <x v="9"/>
    <x v="206"/>
    <n v="164"/>
    <n v="411"/>
    <n v="414.80000000000007"/>
    <n v="1080.3"/>
    <x v="161"/>
  </r>
  <r>
    <x v="2"/>
    <x v="69"/>
    <x v="5"/>
    <x v="9"/>
    <x v="207"/>
    <n v="162.6"/>
    <n v="434"/>
    <n v="434.40000000000003"/>
    <n v="1110.0999999999999"/>
    <x v="162"/>
  </r>
  <r>
    <x v="0"/>
    <x v="70"/>
    <x v="5"/>
    <x v="10"/>
    <x v="208"/>
    <n v="161.9"/>
    <n v="448"/>
    <n v="445.20000000000005"/>
    <n v="1137.8000000000002"/>
    <x v="163"/>
  </r>
  <r>
    <x v="1"/>
    <x v="70"/>
    <x v="5"/>
    <x v="10"/>
    <x v="209"/>
    <n v="164.4"/>
    <n v="413.1"/>
    <n v="419.40000000000003"/>
    <n v="1081"/>
    <x v="164"/>
  </r>
  <r>
    <x v="2"/>
    <x v="70"/>
    <x v="5"/>
    <x v="10"/>
    <x v="210"/>
    <n v="162.6"/>
    <n v="433.79999999999995"/>
    <n v="434.2"/>
    <n v="1110.0999999999999"/>
    <x v="162"/>
  </r>
  <r>
    <x v="0"/>
    <x v="71"/>
    <x v="5"/>
    <x v="11"/>
    <x v="211"/>
    <n v="162.4"/>
    <n v="448.3"/>
    <n v="445"/>
    <n v="1156.4000000000001"/>
    <x v="165"/>
  </r>
  <r>
    <x v="1"/>
    <x v="71"/>
    <x v="5"/>
    <x v="11"/>
    <x v="212"/>
    <n v="164.6"/>
    <n v="413.8"/>
    <n v="415.09999999999997"/>
    <n v="1080.5999999999999"/>
    <x v="155"/>
  </r>
  <r>
    <x v="2"/>
    <x v="71"/>
    <x v="5"/>
    <x v="11"/>
    <x v="213"/>
    <n v="163"/>
    <n v="434.3"/>
    <n v="432.4"/>
    <n v="1119.4000000000001"/>
    <x v="166"/>
  </r>
  <r>
    <x v="0"/>
    <x v="72"/>
    <x v="6"/>
    <x v="0"/>
    <x v="214"/>
    <n v="162.69999999999999"/>
    <n v="445.6"/>
    <n v="444"/>
    <n v="1156.3"/>
    <x v="167"/>
  </r>
  <r>
    <x v="1"/>
    <x v="72"/>
    <x v="6"/>
    <x v="0"/>
    <x v="215"/>
    <n v="164.7"/>
    <n v="414.50000000000006"/>
    <n v="412.59999999999997"/>
    <n v="1082.8000000000002"/>
    <x v="155"/>
  </r>
  <r>
    <x v="2"/>
    <x v="72"/>
    <x v="6"/>
    <x v="0"/>
    <x v="216"/>
    <n v="163.19999999999999"/>
    <n v="432.99999999999994"/>
    <n v="430.79999999999995"/>
    <n v="1120.3"/>
    <x v="168"/>
  </r>
  <r>
    <x v="0"/>
    <x v="73"/>
    <x v="6"/>
    <x v="1"/>
    <x v="217"/>
    <n v="162.80000000000001"/>
    <n v="446.5"/>
    <n v="443.9"/>
    <n v="1160.5"/>
    <x v="167"/>
  </r>
  <r>
    <x v="1"/>
    <x v="73"/>
    <x v="6"/>
    <x v="1"/>
    <x v="218"/>
    <n v="164.9"/>
    <n v="415.5"/>
    <n v="412.20000000000005"/>
    <n v="1087"/>
    <x v="169"/>
  </r>
  <r>
    <x v="2"/>
    <x v="73"/>
    <x v="6"/>
    <x v="1"/>
    <x v="219"/>
    <n v="163.4"/>
    <n v="433.9"/>
    <n v="430.59999999999997"/>
    <n v="1124.3"/>
    <x v="170"/>
  </r>
  <r>
    <x v="0"/>
    <x v="74"/>
    <x v="6"/>
    <x v="2"/>
    <x v="220"/>
    <n v="162.9"/>
    <n v="447"/>
    <n v="445.4"/>
    <n v="1161.8999999999999"/>
    <x v="171"/>
  </r>
  <r>
    <x v="1"/>
    <x v="74"/>
    <x v="6"/>
    <x v="2"/>
    <x v="221"/>
    <n v="165.3"/>
    <n v="416.29999999999995"/>
    <n v="414.6"/>
    <n v="1090"/>
    <x v="172"/>
  </r>
  <r>
    <x v="2"/>
    <x v="74"/>
    <x v="6"/>
    <x v="2"/>
    <x v="222"/>
    <n v="163.5"/>
    <n v="434.5"/>
    <n v="432.5"/>
    <n v="1126.4000000000001"/>
    <x v="156"/>
  </r>
  <r>
    <x v="0"/>
    <x v="75"/>
    <x v="6"/>
    <x v="4"/>
    <x v="223"/>
    <n v="163.30000000000001"/>
    <n v="448.6"/>
    <n v="446.5"/>
    <n v="1168.9000000000001"/>
    <x v="163"/>
  </r>
  <r>
    <x v="1"/>
    <x v="75"/>
    <x v="6"/>
    <x v="4"/>
    <x v="126"/>
    <n v="166.2"/>
    <n v="417.9"/>
    <n v="416.7"/>
    <n v="1095.6000000000001"/>
    <x v="173"/>
  </r>
  <r>
    <x v="2"/>
    <x v="75"/>
    <x v="6"/>
    <x v="4"/>
    <x v="224"/>
    <n v="164.1"/>
    <n v="436.1"/>
    <n v="434.09999999999997"/>
    <n v="1132.6999999999998"/>
    <x v="174"/>
  </r>
  <r>
    <x v="0"/>
    <x v="76"/>
    <x v="6"/>
    <x v="5"/>
    <x v="225"/>
    <n v="164.2"/>
    <n v="448.59999999999997"/>
    <n v="446.80000000000007"/>
    <n v="1173.5"/>
    <x v="175"/>
  </r>
  <r>
    <x v="1"/>
    <x v="76"/>
    <x v="6"/>
    <x v="5"/>
    <x v="226"/>
    <n v="166.7"/>
    <n v="418.39999999999992"/>
    <n v="417.29999999999995"/>
    <n v="1099.6000000000001"/>
    <x v="157"/>
  </r>
  <r>
    <x v="2"/>
    <x v="76"/>
    <x v="6"/>
    <x v="5"/>
    <x v="227"/>
    <n v="164.9"/>
    <n v="436.40000000000003"/>
    <n v="434.40000000000003"/>
    <n v="1136.9000000000001"/>
    <x v="176"/>
  </r>
  <r>
    <x v="0"/>
    <x v="77"/>
    <x v="6"/>
    <x v="6"/>
    <x v="228"/>
    <n v="164.5"/>
    <n v="449.1"/>
    <n v="447.4"/>
    <n v="1181.5999999999999"/>
    <x v="177"/>
  </r>
  <r>
    <x v="1"/>
    <x v="77"/>
    <x v="6"/>
    <x v="6"/>
    <x v="229"/>
    <n v="167.2"/>
    <n v="419.29999999999995"/>
    <n v="415.3"/>
    <n v="1107.6000000000001"/>
    <x v="178"/>
  </r>
  <r>
    <x v="2"/>
    <x v="77"/>
    <x v="6"/>
    <x v="6"/>
    <x v="230"/>
    <n v="165.2"/>
    <n v="437.00000000000006"/>
    <n v="434.09999999999997"/>
    <n v="1145.0999999999999"/>
    <x v="179"/>
  </r>
  <r>
    <x v="0"/>
    <x v="78"/>
    <x v="6"/>
    <x v="7"/>
    <x v="231"/>
    <n v="165.1"/>
    <n v="449.49999999999994"/>
    <n v="448.2"/>
    <n v="1187.9000000000001"/>
    <x v="180"/>
  </r>
  <r>
    <x v="1"/>
    <x v="78"/>
    <x v="6"/>
    <x v="7"/>
    <x v="232"/>
    <n v="167.9"/>
    <n v="420.2"/>
    <n v="415.20000000000005"/>
    <n v="1115.3"/>
    <x v="179"/>
  </r>
  <r>
    <x v="2"/>
    <x v="78"/>
    <x v="6"/>
    <x v="7"/>
    <x v="233"/>
    <n v="165.8"/>
    <n v="437.6"/>
    <n v="434.6"/>
    <n v="1152.0999999999999"/>
    <x v="181"/>
  </r>
  <r>
    <x v="0"/>
    <x v="79"/>
    <x v="6"/>
    <x v="8"/>
    <x v="234"/>
    <n v="165.7"/>
    <n v="449.3"/>
    <n v="449.40000000000003"/>
    <n v="1192.6999999999998"/>
    <x v="182"/>
  </r>
  <r>
    <x v="1"/>
    <x v="79"/>
    <x v="6"/>
    <x v="8"/>
    <x v="235"/>
    <n v="168.6"/>
    <n v="420.79999999999995"/>
    <n v="417.09999999999997"/>
    <n v="1118.8"/>
    <x v="183"/>
  </r>
  <r>
    <x v="2"/>
    <x v="79"/>
    <x v="6"/>
    <x v="8"/>
    <x v="236"/>
    <n v="166.5"/>
    <n v="437.69999999999987"/>
    <n v="436"/>
    <n v="1156.2"/>
    <x v="184"/>
  </r>
  <r>
    <x v="0"/>
    <x v="80"/>
    <x v="6"/>
    <x v="9"/>
    <x v="237"/>
    <n v="166.3"/>
    <n v="449.40000000000003"/>
    <n v="451.29999999999995"/>
    <n v="1195.1999999999998"/>
    <x v="185"/>
  </r>
  <r>
    <x v="1"/>
    <x v="80"/>
    <x v="6"/>
    <x v="9"/>
    <x v="238"/>
    <n v="169.3"/>
    <n v="422.20000000000005"/>
    <n v="420.59999999999997"/>
    <n v="1121.4000000000001"/>
    <x v="186"/>
  </r>
  <r>
    <x v="2"/>
    <x v="80"/>
    <x v="6"/>
    <x v="9"/>
    <x v="239"/>
    <n v="167.1"/>
    <n v="438.40000000000009"/>
    <n v="438.6"/>
    <n v="1158.5999999999999"/>
    <x v="187"/>
  </r>
  <r>
    <x v="0"/>
    <x v="81"/>
    <x v="6"/>
    <x v="10"/>
    <x v="240"/>
    <n v="167.2"/>
    <n v="450.79999999999995"/>
    <n v="452.79999999999995"/>
    <n v="1198.1000000000001"/>
    <x v="188"/>
  </r>
  <r>
    <x v="1"/>
    <x v="81"/>
    <x v="6"/>
    <x v="10"/>
    <x v="241"/>
    <n v="169.9"/>
    <n v="423.09999999999997"/>
    <n v="424.79999999999995"/>
    <n v="1123.6999999999998"/>
    <x v="189"/>
  </r>
  <r>
    <x v="2"/>
    <x v="81"/>
    <x v="6"/>
    <x v="10"/>
    <x v="242"/>
    <n v="167.9"/>
    <n v="439.49999999999994"/>
    <n v="441.1"/>
    <n v="1161.0999999999999"/>
    <x v="190"/>
  </r>
  <r>
    <x v="0"/>
    <x v="82"/>
    <x v="6"/>
    <x v="11"/>
    <x v="243"/>
    <n v="167.8"/>
    <n v="451.79999999999995"/>
    <n v="453.90000000000003"/>
    <n v="1204"/>
    <x v="191"/>
  </r>
  <r>
    <x v="1"/>
    <x v="82"/>
    <x v="6"/>
    <x v="11"/>
    <x v="244"/>
    <n v="170.4"/>
    <n v="424.2000000000001"/>
    <n v="426.2"/>
    <n v="1130.0999999999999"/>
    <x v="185"/>
  </r>
  <r>
    <x v="2"/>
    <x v="82"/>
    <x v="6"/>
    <x v="11"/>
    <x v="245"/>
    <n v="168.5"/>
    <n v="440.6"/>
    <n v="442.3"/>
    <n v="1167.2"/>
    <x v="192"/>
  </r>
  <r>
    <x v="0"/>
    <x v="83"/>
    <x v="7"/>
    <x v="0"/>
    <x v="246"/>
    <n v="168.6"/>
    <n v="452.30000000000007"/>
    <n v="456"/>
    <n v="1211.8"/>
    <x v="193"/>
  </r>
  <r>
    <x v="1"/>
    <x v="83"/>
    <x v="7"/>
    <x v="0"/>
    <x v="247"/>
    <n v="170.8"/>
    <n v="425.1"/>
    <n v="429.1"/>
    <n v="1135.5999999999999"/>
    <x v="194"/>
  </r>
  <r>
    <x v="2"/>
    <x v="83"/>
    <x v="7"/>
    <x v="0"/>
    <x v="248"/>
    <n v="169.2"/>
    <n v="441.2"/>
    <n v="444.7"/>
    <n v="1174"/>
    <x v="195"/>
  </r>
  <r>
    <x v="0"/>
    <x v="84"/>
    <x v="7"/>
    <x v="1"/>
    <x v="249"/>
    <n v="169.4"/>
    <n v="452.80000000000007"/>
    <n v="458.90000000000003"/>
    <n v="1214.4000000000001"/>
    <x v="192"/>
  </r>
  <r>
    <x v="1"/>
    <x v="84"/>
    <x v="7"/>
    <x v="1"/>
    <x v="250"/>
    <n v="172"/>
    <n v="426"/>
    <n v="434.1"/>
    <n v="1138"/>
    <x v="196"/>
  </r>
  <r>
    <x v="2"/>
    <x v="84"/>
    <x v="7"/>
    <x v="1"/>
    <x v="251"/>
    <n v="170.1"/>
    <n v="442"/>
    <n v="448.4"/>
    <n v="1176.3"/>
    <x v="197"/>
  </r>
  <r>
    <x v="0"/>
    <x v="85"/>
    <x v="7"/>
    <x v="2"/>
    <x v="252"/>
    <n v="170.5"/>
    <n v="453.5"/>
    <n v="459.4"/>
    <n v="1216.5"/>
    <x v="198"/>
  </r>
  <r>
    <x v="1"/>
    <x v="85"/>
    <x v="7"/>
    <x v="2"/>
    <x v="253"/>
    <n v="173.3"/>
    <n v="427.10000000000008"/>
    <n v="436.7"/>
    <n v="1141.5"/>
    <x v="199"/>
  </r>
  <r>
    <x v="2"/>
    <x v="85"/>
    <x v="7"/>
    <x v="2"/>
    <x v="254"/>
    <n v="171.2"/>
    <n v="442.90000000000003"/>
    <n v="449.79999999999995"/>
    <n v="1179.4000000000001"/>
    <x v="190"/>
  </r>
  <r>
    <x v="0"/>
    <x v="86"/>
    <x v="7"/>
    <x v="3"/>
    <x v="255"/>
    <n v="176.45"/>
    <n v="456.15"/>
    <n v="455.6"/>
    <n v="1220.7"/>
    <x v="200"/>
  </r>
  <r>
    <x v="1"/>
    <x v="86"/>
    <x v="7"/>
    <x v="3"/>
    <x v="256"/>
    <n v="180"/>
    <n v="430"/>
    <n v="444.29999999999995"/>
    <n v="1151.8500000000001"/>
    <x v="201"/>
  </r>
  <r>
    <x v="2"/>
    <x v="86"/>
    <x v="7"/>
    <x v="3"/>
    <x v="257"/>
    <n v="180"/>
    <n v="430"/>
    <n v="451.29999999999995"/>
    <n v="1163.6499999999999"/>
    <x v="201"/>
  </r>
  <r>
    <x v="0"/>
    <x v="87"/>
    <x v="7"/>
    <x v="4"/>
    <x v="258"/>
    <n v="180"/>
    <n v="430"/>
    <n v="453.4"/>
    <n v="1174.75"/>
    <x v="201"/>
  </r>
  <r>
    <x v="1"/>
    <x v="87"/>
    <x v="7"/>
    <x v="4"/>
    <x v="259"/>
    <n v="180"/>
    <n v="430"/>
    <n v="438.25"/>
    <n v="1155.1499999999999"/>
    <x v="201"/>
  </r>
  <r>
    <x v="2"/>
    <x v="87"/>
    <x v="7"/>
    <x v="4"/>
    <x v="260"/>
    <n v="181.75"/>
    <n v="439.15000000000003"/>
    <n v="447.15"/>
    <n v="1183.575"/>
    <x v="202"/>
  </r>
  <r>
    <x v="0"/>
    <x v="88"/>
    <x v="7"/>
    <x v="5"/>
    <x v="261"/>
    <n v="182.4"/>
    <n v="458.8"/>
    <n v="451.3"/>
    <n v="1237.5"/>
    <x v="203"/>
  </r>
  <r>
    <x v="1"/>
    <x v="88"/>
    <x v="7"/>
    <x v="5"/>
    <x v="262"/>
    <n v="186.7"/>
    <n v="432.89999999999992"/>
    <n v="432.19999999999993"/>
    <n v="1169.2000000000003"/>
    <x v="204"/>
  </r>
  <r>
    <x v="2"/>
    <x v="88"/>
    <x v="7"/>
    <x v="5"/>
    <x v="263"/>
    <n v="183.5"/>
    <n v="448.29999999999995"/>
    <n v="443"/>
    <n v="1203.5"/>
    <x v="205"/>
  </r>
  <r>
    <x v="0"/>
    <x v="89"/>
    <x v="7"/>
    <x v="6"/>
    <x v="261"/>
    <n v="182.4"/>
    <n v="458.8"/>
    <n v="451.3"/>
    <n v="1237.5"/>
    <x v="203"/>
  </r>
  <r>
    <x v="1"/>
    <x v="89"/>
    <x v="7"/>
    <x v="6"/>
    <x v="262"/>
    <n v="186.7"/>
    <n v="432.89999999999992"/>
    <n v="432.19999999999993"/>
    <n v="1169.2000000000003"/>
    <x v="204"/>
  </r>
  <r>
    <x v="2"/>
    <x v="89"/>
    <x v="7"/>
    <x v="6"/>
    <x v="263"/>
    <n v="183.5"/>
    <n v="448.29999999999995"/>
    <n v="443"/>
    <n v="1203.5"/>
    <x v="205"/>
  </r>
  <r>
    <x v="0"/>
    <x v="90"/>
    <x v="7"/>
    <x v="7"/>
    <x v="264"/>
    <n v="180.9"/>
    <n v="458.69999999999993"/>
    <n v="453.20000000000005"/>
    <n v="1245.4000000000001"/>
    <x v="206"/>
  </r>
  <r>
    <x v="1"/>
    <x v="90"/>
    <x v="7"/>
    <x v="7"/>
    <x v="265"/>
    <n v="187.2"/>
    <n v="433.00000000000006"/>
    <n v="438.3"/>
    <n v="1183.5"/>
    <x v="207"/>
  </r>
  <r>
    <x v="2"/>
    <x v="90"/>
    <x v="7"/>
    <x v="7"/>
    <x v="266"/>
    <n v="182.6"/>
    <n v="448.2"/>
    <n v="446.9"/>
    <n v="1214.8"/>
    <x v="208"/>
  </r>
  <r>
    <x v="0"/>
    <x v="91"/>
    <x v="7"/>
    <x v="8"/>
    <x v="267"/>
    <n v="182.9"/>
    <n v="459.9"/>
    <n v="454.30000000000007"/>
    <n v="1248.8999999999999"/>
    <x v="209"/>
  </r>
  <r>
    <x v="1"/>
    <x v="91"/>
    <x v="7"/>
    <x v="8"/>
    <x v="268"/>
    <n v="188.7"/>
    <n v="434.60000000000008"/>
    <n v="438.9"/>
    <n v="1192.5"/>
    <x v="210"/>
  </r>
  <r>
    <x v="2"/>
    <x v="91"/>
    <x v="7"/>
    <x v="8"/>
    <x v="269"/>
    <n v="184.4"/>
    <n v="449.70000000000005"/>
    <n v="447.90000000000003"/>
    <n v="1220.8000000000002"/>
    <x v="206"/>
  </r>
  <r>
    <x v="0"/>
    <x v="92"/>
    <x v="7"/>
    <x v="9"/>
    <x v="270"/>
    <n v="182.7"/>
    <n v="461.3"/>
    <n v="455.3"/>
    <n v="1253.3"/>
    <x v="211"/>
  </r>
  <r>
    <x v="1"/>
    <x v="92"/>
    <x v="7"/>
    <x v="9"/>
    <x v="271"/>
    <n v="188.7"/>
    <n v="434.9"/>
    <n v="438.70000000000005"/>
    <n v="1195.0999999999999"/>
    <x v="212"/>
  </r>
  <r>
    <x v="2"/>
    <x v="92"/>
    <x v="7"/>
    <x v="9"/>
    <x v="272"/>
    <n v="184.3"/>
    <n v="450.59999999999991"/>
    <n v="448.3"/>
    <n v="1224.0999999999999"/>
    <x v="213"/>
  </r>
  <r>
    <x v="0"/>
    <x v="93"/>
    <x v="7"/>
    <x v="10"/>
    <x v="273"/>
    <n v="183.4"/>
    <n v="462.8"/>
    <n v="458.3"/>
    <n v="1254.4000000000001"/>
    <x v="214"/>
  </r>
  <r>
    <x v="1"/>
    <x v="93"/>
    <x v="7"/>
    <x v="10"/>
    <x v="274"/>
    <n v="188.8"/>
    <n v="436.30000000000007"/>
    <n v="440.4"/>
    <n v="1200.9000000000001"/>
    <x v="215"/>
  </r>
  <r>
    <x v="2"/>
    <x v="93"/>
    <x v="7"/>
    <x v="10"/>
    <x v="275"/>
    <n v="184.8"/>
    <n v="452.00000000000011"/>
    <n v="450.8"/>
    <n v="1228"/>
    <x v="216"/>
  </r>
  <r>
    <x v="0"/>
    <x v="94"/>
    <x v="7"/>
    <x v="11"/>
    <x v="276"/>
    <n v="183.6"/>
    <n v="464.9"/>
    <n v="460.5"/>
    <n v="1261.0999999999999"/>
    <x v="217"/>
  </r>
  <r>
    <x v="1"/>
    <x v="94"/>
    <x v="7"/>
    <x v="11"/>
    <x v="277"/>
    <n v="190.2"/>
    <n v="438.20000000000005"/>
    <n v="441.8"/>
    <n v="1204.2"/>
    <x v="218"/>
  </r>
  <r>
    <x v="2"/>
    <x v="94"/>
    <x v="7"/>
    <x v="11"/>
    <x v="278"/>
    <n v="185.4"/>
    <n v="454"/>
    <n v="452.7"/>
    <n v="1232.9000000000001"/>
    <x v="219"/>
  </r>
  <r>
    <x v="0"/>
    <x v="95"/>
    <x v="8"/>
    <x v="0"/>
    <x v="279"/>
    <n v="184.6"/>
    <n v="466.7"/>
    <n v="462.5"/>
    <n v="1266.7"/>
    <x v="220"/>
  </r>
  <r>
    <x v="1"/>
    <x v="95"/>
    <x v="8"/>
    <x v="0"/>
    <x v="280"/>
    <n v="191.8"/>
    <n v="440.00000000000006"/>
    <n v="446.3"/>
    <n v="1208"/>
    <x v="221"/>
  </r>
  <r>
    <x v="2"/>
    <x v="95"/>
    <x v="8"/>
    <x v="0"/>
    <x v="281"/>
    <n v="186.5"/>
    <n v="455.8"/>
    <n v="455.6"/>
    <n v="1237.2"/>
    <x v="222"/>
  </r>
  <r>
    <x v="0"/>
    <x v="96"/>
    <x v="8"/>
    <x v="1"/>
    <x v="282"/>
    <n v="186.5"/>
    <n v="471.39999999999992"/>
    <n v="469.00000000000006"/>
    <n v="1275.4000000000001"/>
    <x v="215"/>
  </r>
  <r>
    <x v="1"/>
    <x v="96"/>
    <x v="8"/>
    <x v="1"/>
    <x v="283"/>
    <n v="193.3"/>
    <n v="444.2"/>
    <n v="455.4"/>
    <n v="1219.5999999999999"/>
    <x v="223"/>
  </r>
  <r>
    <x v="2"/>
    <x v="96"/>
    <x v="8"/>
    <x v="1"/>
    <x v="284"/>
    <n v="188.3"/>
    <n v="460.40000000000003"/>
    <n v="463.1"/>
    <n v="1247.3999999999999"/>
    <x v="224"/>
  </r>
  <r>
    <x v="0"/>
    <x v="97"/>
    <x v="8"/>
    <x v="2"/>
    <x v="285"/>
    <n v="186.1"/>
    <n v="472.9"/>
    <n v="470.7"/>
    <n v="1276.3"/>
    <x v="215"/>
  </r>
  <r>
    <x v="1"/>
    <x v="97"/>
    <x v="8"/>
    <x v="2"/>
    <x v="286"/>
    <n v="193.5"/>
    <n v="446.4"/>
    <n v="461.90000000000003"/>
    <n v="1224.1999999999998"/>
    <x v="218"/>
  </r>
  <r>
    <x v="2"/>
    <x v="97"/>
    <x v="8"/>
    <x v="2"/>
    <x v="287"/>
    <n v="188.1"/>
    <n v="462.10000000000008"/>
    <n v="466.59999999999997"/>
    <n v="1250.1999999999998"/>
    <x v="225"/>
  </r>
  <r>
    <x v="0"/>
    <x v="98"/>
    <x v="8"/>
    <x v="3"/>
    <x v="288"/>
    <n v="186.8"/>
    <n v="475.69999999999993"/>
    <n v="472.9"/>
    <n v="1281.6999999999998"/>
    <x v="226"/>
  </r>
  <r>
    <x v="1"/>
    <x v="98"/>
    <x v="8"/>
    <x v="3"/>
    <x v="289"/>
    <n v="194.4"/>
    <n v="448.6"/>
    <n v="463.9"/>
    <n v="1228.5"/>
    <x v="227"/>
  </r>
  <r>
    <x v="2"/>
    <x v="98"/>
    <x v="8"/>
    <x v="3"/>
    <x v="290"/>
    <n v="188.8"/>
    <n v="464.6"/>
    <n v="468.8"/>
    <n v="1254.8000000000002"/>
    <x v="228"/>
  </r>
  <r>
    <x v="0"/>
    <x v="99"/>
    <x v="8"/>
    <x v="4"/>
    <x v="291"/>
    <n v="189.6"/>
    <n v="490.40000000000003"/>
    <n v="482.09999999999997"/>
    <n v="1307"/>
    <x v="229"/>
  </r>
  <r>
    <x v="1"/>
    <x v="99"/>
    <x v="8"/>
    <x v="4"/>
    <x v="292"/>
    <n v="198.2"/>
    <n v="450.79999999999995"/>
    <n v="467.20000000000005"/>
    <n v="1241.4000000000001"/>
    <x v="230"/>
  </r>
  <r>
    <x v="2"/>
    <x v="99"/>
    <x v="8"/>
    <x v="4"/>
    <x v="293"/>
    <n v="191.9"/>
    <n v="474.29999999999995"/>
    <n v="475.7"/>
    <n v="1274.0999999999999"/>
    <x v="231"/>
  </r>
  <r>
    <x v="0"/>
    <x v="100"/>
    <x v="8"/>
    <x v="5"/>
    <x v="294"/>
    <n v="189.1"/>
    <n v="489.80000000000007"/>
    <n v="481.8"/>
    <n v="1308.5"/>
    <x v="232"/>
  </r>
  <r>
    <x v="1"/>
    <x v="100"/>
    <x v="8"/>
    <x v="5"/>
    <x v="295"/>
    <n v="195.6"/>
    <n v="452.6"/>
    <n v="466.40000000000003"/>
    <n v="1247.3999999999999"/>
    <x v="231"/>
  </r>
  <r>
    <x v="2"/>
    <x v="100"/>
    <x v="8"/>
    <x v="5"/>
    <x v="296"/>
    <n v="190.8"/>
    <n v="474.7"/>
    <n v="475.1"/>
    <n v="1278"/>
    <x v="233"/>
  </r>
  <r>
    <x v="0"/>
    <x v="101"/>
    <x v="8"/>
    <x v="6"/>
    <x v="297"/>
    <n v="189.7"/>
    <n v="492.40000000000009"/>
    <n v="484.3"/>
    <n v="1316.2"/>
    <x v="234"/>
  </r>
  <r>
    <x v="1"/>
    <x v="101"/>
    <x v="8"/>
    <x v="6"/>
    <x v="298"/>
    <n v="195.5"/>
    <n v="455.29999999999995"/>
    <n v="469.9"/>
    <n v="1258.9000000000001"/>
    <x v="235"/>
  </r>
  <r>
    <x v="2"/>
    <x v="101"/>
    <x v="8"/>
    <x v="6"/>
    <x v="299"/>
    <n v="191.2"/>
    <n v="477.29999999999995"/>
    <n v="478"/>
    <n v="1287.8999999999999"/>
    <x v="236"/>
  </r>
  <r>
    <x v="0"/>
    <x v="102"/>
    <x v="8"/>
    <x v="7"/>
    <x v="300"/>
    <n v="190.2"/>
    <n v="495.90000000000003"/>
    <n v="486.1"/>
    <n v="1319.6"/>
    <x v="237"/>
  </r>
  <r>
    <x v="1"/>
    <x v="102"/>
    <x v="8"/>
    <x v="7"/>
    <x v="301"/>
    <n v="196.5"/>
    <n v="460.69999999999993"/>
    <n v="475.99999999999994"/>
    <n v="1266.0999999999999"/>
    <x v="238"/>
  </r>
  <r>
    <x v="2"/>
    <x v="102"/>
    <x v="8"/>
    <x v="7"/>
    <x v="302"/>
    <n v="192.1"/>
    <n v="483"/>
    <n v="482.2"/>
    <n v="1296"/>
    <x v="234"/>
  </r>
  <r>
    <x v="0"/>
    <x v="103"/>
    <x v="8"/>
    <x v="8"/>
    <x v="303"/>
    <n v="190.5"/>
    <n v="498.39999999999992"/>
    <n v="487.09999999999997"/>
    <n v="1325.3000000000002"/>
    <x v="239"/>
  </r>
  <r>
    <x v="1"/>
    <x v="103"/>
    <x v="8"/>
    <x v="8"/>
    <x v="301"/>
    <n v="196.5"/>
    <n v="460.79999999999995"/>
    <n v="476.2"/>
    <n v="1266.2"/>
    <x v="238"/>
  </r>
  <r>
    <x v="2"/>
    <x v="103"/>
    <x v="8"/>
    <x v="8"/>
    <x v="302"/>
    <n v="192.1"/>
    <n v="483.20000000000005"/>
    <n v="482.2"/>
    <n v="1295.9000000000001"/>
    <x v="234"/>
  </r>
  <r>
    <x v="0"/>
    <x v="104"/>
    <x v="8"/>
    <x v="9"/>
    <x v="304"/>
    <n v="191.2"/>
    <n v="502"/>
    <n v="491.1"/>
    <n v="1331.5"/>
    <x v="240"/>
  </r>
  <r>
    <x v="1"/>
    <x v="104"/>
    <x v="8"/>
    <x v="9"/>
    <x v="305"/>
    <n v="197"/>
    <n v="463.50000000000006"/>
    <n v="480.09999999999997"/>
    <n v="1272.2"/>
    <x v="241"/>
  </r>
  <r>
    <x v="2"/>
    <x v="104"/>
    <x v="8"/>
    <x v="9"/>
    <x v="306"/>
    <n v="192.7"/>
    <n v="486.3"/>
    <n v="486.19999999999993"/>
    <n v="1302.0999999999999"/>
    <x v="242"/>
  </r>
  <r>
    <x v="0"/>
    <x v="105"/>
    <x v="8"/>
    <x v="10"/>
    <x v="307"/>
    <n v="191.4"/>
    <n v="506.20000000000005"/>
    <n v="492.4"/>
    <n v="1335.7000000000003"/>
    <x v="243"/>
  </r>
  <r>
    <x v="1"/>
    <x v="105"/>
    <x v="8"/>
    <x v="10"/>
    <x v="308"/>
    <n v="197"/>
    <n v="467.3"/>
    <n v="480.99999999999994"/>
    <n v="1277"/>
    <x v="244"/>
  </r>
  <r>
    <x v="2"/>
    <x v="105"/>
    <x v="8"/>
    <x v="10"/>
    <x v="309"/>
    <n v="192.9"/>
    <n v="490.40000000000003"/>
    <n v="487.40000000000003"/>
    <n v="1306.6000000000001"/>
    <x v="245"/>
  </r>
  <r>
    <x v="0"/>
    <x v="106"/>
    <x v="8"/>
    <x v="11"/>
    <x v="310"/>
    <n v="190.8"/>
    <n v="510.3"/>
    <n v="492.9"/>
    <n v="1340.8"/>
    <x v="246"/>
  </r>
  <r>
    <x v="1"/>
    <x v="106"/>
    <x v="8"/>
    <x v="11"/>
    <x v="311"/>
    <n v="196.8"/>
    <n v="470.70000000000005"/>
    <n v="481.1"/>
    <n v="1281"/>
    <x v="247"/>
  </r>
  <r>
    <x v="2"/>
    <x v="106"/>
    <x v="8"/>
    <x v="11"/>
    <x v="312"/>
    <n v="192.4"/>
    <n v="494.19999999999993"/>
    <n v="487.7"/>
    <n v="1310.9"/>
    <x v="248"/>
  </r>
  <r>
    <x v="0"/>
    <x v="107"/>
    <x v="9"/>
    <x v="0"/>
    <x v="313"/>
    <n v="190.7"/>
    <n v="515.20000000000005"/>
    <n v="495.20000000000005"/>
    <n v="1344.7000000000003"/>
    <x v="249"/>
  </r>
  <r>
    <x v="1"/>
    <x v="107"/>
    <x v="9"/>
    <x v="0"/>
    <x v="314"/>
    <n v="196.4"/>
    <n v="475.40000000000003"/>
    <n v="482.90000000000003"/>
    <n v="1286.7000000000003"/>
    <x v="250"/>
  </r>
  <r>
    <x v="2"/>
    <x v="107"/>
    <x v="9"/>
    <x v="0"/>
    <x v="304"/>
    <n v="192.2"/>
    <n v="499.1"/>
    <n v="489.79999999999995"/>
    <n v="1315.6"/>
    <x v="251"/>
  </r>
  <r>
    <x v="0"/>
    <x v="108"/>
    <x v="9"/>
    <x v="1"/>
    <x v="315"/>
    <n v="191.5"/>
    <n v="518.79999999999995"/>
    <n v="498.59999999999997"/>
    <n v="1349.6999999999998"/>
    <x v="245"/>
  </r>
  <r>
    <x v="1"/>
    <x v="108"/>
    <x v="9"/>
    <x v="1"/>
    <x v="316"/>
    <n v="196.5"/>
    <n v="479.50000000000006"/>
    <n v="485.9"/>
    <n v="1294.5999999999999"/>
    <x v="242"/>
  </r>
  <r>
    <x v="2"/>
    <x v="108"/>
    <x v="9"/>
    <x v="1"/>
    <x v="317"/>
    <n v="192.8"/>
    <n v="502.80000000000007"/>
    <n v="493"/>
    <n v="1322.1"/>
    <x v="252"/>
  </r>
  <r>
    <x v="0"/>
    <x v="109"/>
    <x v="9"/>
    <x v="2"/>
    <x v="318"/>
    <n v="192.3"/>
    <n v="523.70000000000005"/>
    <n v="500.70000000000005"/>
    <n v="1357.5"/>
    <x v="253"/>
  </r>
  <r>
    <x v="1"/>
    <x v="109"/>
    <x v="9"/>
    <x v="2"/>
    <x v="319"/>
    <n v="197.5"/>
    <n v="484.60000000000008"/>
    <n v="488.4"/>
    <n v="1304.1999999999998"/>
    <x v="254"/>
  </r>
  <r>
    <x v="2"/>
    <x v="109"/>
    <x v="9"/>
    <x v="2"/>
    <x v="320"/>
    <n v="193.7"/>
    <n v="507.8"/>
    <n v="495.3"/>
    <n v="1331"/>
    <x v="255"/>
  </r>
  <r>
    <x v="0"/>
    <x v="110"/>
    <x v="9"/>
    <x v="3"/>
    <x v="321"/>
    <n v="192.8"/>
    <n v="529.70000000000005"/>
    <n v="508"/>
    <n v="1368.4"/>
    <x v="256"/>
  </r>
  <r>
    <x v="1"/>
    <x v="110"/>
    <x v="9"/>
    <x v="3"/>
    <x v="322"/>
    <n v="197.1"/>
    <n v="489.20000000000005"/>
    <n v="497.3"/>
    <n v="1319"/>
    <x v="257"/>
  </r>
  <r>
    <x v="2"/>
    <x v="110"/>
    <x v="9"/>
    <x v="3"/>
    <x v="323"/>
    <n v="193.9"/>
    <n v="513.20000000000005"/>
    <n v="503.2"/>
    <n v="1344.4"/>
    <x v="258"/>
  </r>
  <r>
    <x v="0"/>
    <x v="111"/>
    <x v="9"/>
    <x v="4"/>
    <x v="324"/>
    <n v="192.9"/>
    <n v="535.5"/>
    <n v="511.70000000000005"/>
    <n v="1373.1"/>
    <x v="259"/>
  </r>
  <r>
    <x v="1"/>
    <x v="111"/>
    <x v="9"/>
    <x v="4"/>
    <x v="325"/>
    <n v="197.5"/>
    <n v="493.7"/>
    <n v="502.1"/>
    <n v="1325.1999999999998"/>
    <x v="256"/>
  </r>
  <r>
    <x v="2"/>
    <x v="111"/>
    <x v="9"/>
    <x v="4"/>
    <x v="326"/>
    <n v="194.1"/>
    <n v="518.6"/>
    <n v="507.3"/>
    <n v="1349.4"/>
    <x v="260"/>
  </r>
  <r>
    <x v="0"/>
    <x v="112"/>
    <x v="9"/>
    <x v="5"/>
    <x v="327"/>
    <n v="192.9"/>
    <n v="539.79999999999995"/>
    <n v="513.79999999999995"/>
    <n v="1375.6"/>
    <x v="261"/>
  </r>
  <r>
    <x v="1"/>
    <x v="112"/>
    <x v="9"/>
    <x v="5"/>
    <x v="328"/>
    <n v="198.3"/>
    <n v="498.39999999999992"/>
    <n v="503.80000000000007"/>
    <n v="1329.1"/>
    <x v="262"/>
  </r>
  <r>
    <x v="2"/>
    <x v="112"/>
    <x v="9"/>
    <x v="5"/>
    <x v="329"/>
    <n v="194.3"/>
    <n v="523"/>
    <n v="509.20000000000005"/>
    <n v="1352.6"/>
    <x v="263"/>
  </r>
  <r>
    <x v="0"/>
    <x v="113"/>
    <x v="9"/>
    <x v="6"/>
    <x v="330"/>
    <n v="193.2"/>
    <n v="544"/>
    <n v="518.70000000000005"/>
    <n v="1383.4"/>
    <x v="264"/>
  </r>
  <r>
    <x v="1"/>
    <x v="113"/>
    <x v="9"/>
    <x v="6"/>
    <x v="331"/>
    <n v="198.6"/>
    <n v="501.99999999999994"/>
    <n v="510.4"/>
    <n v="1338.1"/>
    <x v="265"/>
  </r>
  <r>
    <x v="2"/>
    <x v="113"/>
    <x v="9"/>
    <x v="6"/>
    <x v="332"/>
    <n v="194.6"/>
    <n v="526.90000000000009"/>
    <n v="514.79999999999995"/>
    <n v="1361"/>
    <x v="266"/>
  </r>
  <r>
    <x v="0"/>
    <x v="114"/>
    <x v="9"/>
    <x v="7"/>
    <x v="333"/>
    <n v="193.7"/>
    <n v="547.9"/>
    <n v="520.40000000000009"/>
    <n v="1389.8000000000002"/>
    <x v="267"/>
  </r>
  <r>
    <x v="1"/>
    <x v="114"/>
    <x v="9"/>
    <x v="7"/>
    <x v="334"/>
    <n v="198.7"/>
    <n v="505.29999999999995"/>
    <n v="511.59999999999997"/>
    <n v="1344.6"/>
    <x v="268"/>
  </r>
  <r>
    <x v="2"/>
    <x v="114"/>
    <x v="9"/>
    <x v="7"/>
    <x v="335"/>
    <n v="195"/>
    <n v="530.70000000000005"/>
    <n v="516.29999999999995"/>
    <n v="1367.3000000000002"/>
    <x v="264"/>
  </r>
  <r>
    <x v="0"/>
    <x v="115"/>
    <x v="9"/>
    <x v="8"/>
    <x v="336"/>
    <n v="194.5"/>
    <n v="552.5"/>
    <n v="522.79999999999995"/>
    <n v="1393.6"/>
    <x v="269"/>
  </r>
  <r>
    <x v="1"/>
    <x v="115"/>
    <x v="9"/>
    <x v="8"/>
    <x v="337"/>
    <n v="199.7"/>
    <n v="509.69999999999993"/>
    <n v="513.70000000000005"/>
    <n v="1350.6000000000001"/>
    <x v="270"/>
  </r>
  <r>
    <x v="2"/>
    <x v="115"/>
    <x v="9"/>
    <x v="8"/>
    <x v="338"/>
    <n v="195.9"/>
    <n v="535.1"/>
    <n v="518.5"/>
    <n v="1372.3"/>
    <x v="267"/>
  </r>
  <r>
    <x v="0"/>
    <x v="116"/>
    <x v="9"/>
    <x v="9"/>
    <x v="339"/>
    <n v="194.9"/>
    <n v="556.4"/>
    <n v="526.4"/>
    <n v="1399.3"/>
    <x v="271"/>
  </r>
  <r>
    <x v="1"/>
    <x v="116"/>
    <x v="9"/>
    <x v="9"/>
    <x v="340"/>
    <n v="200.1"/>
    <n v="511.7"/>
    <n v="517.20000000000005"/>
    <n v="1356"/>
    <x v="267"/>
  </r>
  <r>
    <x v="2"/>
    <x v="116"/>
    <x v="9"/>
    <x v="9"/>
    <x v="341"/>
    <n v="196.3"/>
    <n v="538.20000000000005"/>
    <n v="522.1"/>
    <n v="1377.9"/>
    <x v="272"/>
  </r>
  <r>
    <x v="0"/>
    <x v="117"/>
    <x v="9"/>
    <x v="10"/>
    <x v="342"/>
    <n v="195.5"/>
    <n v="559.29999999999995"/>
    <n v="529.20000000000005"/>
    <n v="1404.7"/>
    <x v="273"/>
  </r>
  <r>
    <x v="1"/>
    <x v="117"/>
    <x v="9"/>
    <x v="10"/>
    <x v="343"/>
    <n v="200.6"/>
    <n v="514.90000000000009"/>
    <n v="519"/>
    <n v="1361.4"/>
    <x v="270"/>
  </r>
  <r>
    <x v="2"/>
    <x v="117"/>
    <x v="9"/>
    <x v="10"/>
    <x v="344"/>
    <n v="196.9"/>
    <n v="541.4"/>
    <n v="524.5"/>
    <n v="1383.2"/>
    <x v="274"/>
  </r>
  <r>
    <x v="0"/>
    <x v="118"/>
    <x v="9"/>
    <x v="11"/>
    <x v="345"/>
    <n v="195.9"/>
    <n v="561.79999999999995"/>
    <n v="529.9"/>
    <n v="1411.8"/>
    <x v="275"/>
  </r>
  <r>
    <x v="1"/>
    <x v="118"/>
    <x v="9"/>
    <x v="11"/>
    <x v="346"/>
    <n v="201.1"/>
    <n v="517.9"/>
    <n v="518.59999999999991"/>
    <n v="1368.7"/>
    <x v="270"/>
  </r>
  <r>
    <x v="2"/>
    <x v="118"/>
    <x v="9"/>
    <x v="11"/>
    <x v="347"/>
    <n v="197.3"/>
    <n v="544"/>
    <n v="524.79999999999995"/>
    <n v="1390.5"/>
    <x v="276"/>
  </r>
  <r>
    <x v="0"/>
    <x v="119"/>
    <x v="10"/>
    <x v="0"/>
    <x v="348"/>
    <n v="196.9"/>
    <n v="563.9"/>
    <n v="532.5"/>
    <n v="1419.9"/>
    <x v="273"/>
  </r>
  <r>
    <x v="1"/>
    <x v="119"/>
    <x v="10"/>
    <x v="0"/>
    <x v="349"/>
    <n v="201.6"/>
    <n v="520.60000000000014"/>
    <n v="520.20000000000005"/>
    <n v="1375.6"/>
    <x v="277"/>
  </r>
  <r>
    <x v="2"/>
    <x v="119"/>
    <x v="10"/>
    <x v="0"/>
    <x v="350"/>
    <n v="198.2"/>
    <n v="546.29999999999995"/>
    <n v="527"/>
    <n v="1397.6999999999998"/>
    <x v="274"/>
  </r>
  <r>
    <x v="0"/>
    <x v="120"/>
    <x v="10"/>
    <x v="1"/>
    <x v="351"/>
    <n v="198.3"/>
    <n v="566.59999999999991"/>
    <n v="533.70000000000005"/>
    <n v="1430.6"/>
    <x v="278"/>
  </r>
  <r>
    <x v="1"/>
    <x v="120"/>
    <x v="10"/>
    <x v="1"/>
    <x v="352"/>
    <n v="202.7"/>
    <n v="525.5"/>
    <n v="525.5"/>
    <n v="1386.2"/>
    <x v="279"/>
  </r>
  <r>
    <x v="2"/>
    <x v="120"/>
    <x v="10"/>
    <x v="1"/>
    <x v="353"/>
    <n v="199.5"/>
    <n v="550"/>
    <n v="529.79999999999995"/>
    <n v="1408.4"/>
    <x v="280"/>
  </r>
  <r>
    <x v="0"/>
    <x v="121"/>
    <x v="10"/>
    <x v="2"/>
    <x v="354"/>
    <n v="198.4"/>
    <n v="566.59999999999991"/>
    <n v="533.5"/>
    <n v="1430.6"/>
    <x v="278"/>
  </r>
  <r>
    <x v="1"/>
    <x v="121"/>
    <x v="10"/>
    <x v="2"/>
    <x v="355"/>
    <n v="202.7"/>
    <n v="525.4"/>
    <n v="525.29999999999995"/>
    <n v="1386.3"/>
    <x v="279"/>
  </r>
  <r>
    <x v="2"/>
    <x v="121"/>
    <x v="10"/>
    <x v="2"/>
    <x v="356"/>
    <n v="199.5"/>
    <n v="549.9"/>
    <n v="529.59999999999991"/>
    <n v="1408.4"/>
    <x v="280"/>
  </r>
  <r>
    <x v="0"/>
    <x v="122"/>
    <x v="10"/>
    <x v="3"/>
    <x v="357"/>
    <n v="199.5"/>
    <n v="568.20000000000005"/>
    <n v="535.79999999999995"/>
    <n v="1438.5"/>
    <x v="281"/>
  </r>
  <r>
    <x v="1"/>
    <x v="122"/>
    <x v="10"/>
    <x v="3"/>
    <x v="358"/>
    <n v="203.5"/>
    <n v="527.6"/>
    <n v="526.9"/>
    <n v="1395.6"/>
    <x v="282"/>
  </r>
  <r>
    <x v="2"/>
    <x v="122"/>
    <x v="10"/>
    <x v="3"/>
    <x v="359"/>
    <n v="200.6"/>
    <n v="551.79999999999995"/>
    <n v="531.5"/>
    <n v="1417"/>
    <x v="283"/>
  </r>
  <r>
    <x v="0"/>
    <x v="123"/>
    <x v="10"/>
    <x v="4"/>
    <x v="360"/>
    <n v="199.9"/>
    <n v="569.90000000000009"/>
    <n v="537.90000000000009"/>
    <n v="1444.1"/>
    <x v="284"/>
  </r>
  <r>
    <x v="1"/>
    <x v="123"/>
    <x v="10"/>
    <x v="4"/>
    <x v="361"/>
    <n v="204.2"/>
    <n v="528.70000000000005"/>
    <n v="529.1"/>
    <n v="1400.8"/>
    <x v="285"/>
  </r>
  <r>
    <x v="2"/>
    <x v="123"/>
    <x v="10"/>
    <x v="4"/>
    <x v="362"/>
    <n v="201"/>
    <n v="553.20000000000005"/>
    <n v="533.59999999999991"/>
    <n v="1422.5"/>
    <x v="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4A618D-BF5C-4610-89F0-D51C97B69A25}"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8:E31" firstHeaderRow="1" firstDataRow="2" firstDataCol="1"/>
  <pivotFields count="10">
    <pivotField axis="axisCol" showAll="0">
      <items count="4">
        <item x="0"/>
        <item x="2"/>
        <item x="1"/>
        <item t="default"/>
      </items>
    </pivotField>
    <pivotField showAll="0">
      <items count="125">
        <item x="3"/>
        <item x="15"/>
        <item x="27"/>
        <item x="39"/>
        <item x="51"/>
        <item x="63"/>
        <item x="86"/>
        <item x="98"/>
        <item x="110"/>
        <item x="122"/>
        <item x="7"/>
        <item x="19"/>
        <item x="31"/>
        <item x="43"/>
        <item x="55"/>
        <item x="67"/>
        <item x="78"/>
        <item x="90"/>
        <item x="102"/>
        <item x="114"/>
        <item x="11"/>
        <item x="23"/>
        <item x="35"/>
        <item x="47"/>
        <item x="59"/>
        <item x="71"/>
        <item x="82"/>
        <item x="94"/>
        <item x="106"/>
        <item x="118"/>
        <item x="1"/>
        <item x="13"/>
        <item x="25"/>
        <item x="37"/>
        <item x="49"/>
        <item x="61"/>
        <item x="73"/>
        <item x="84"/>
        <item x="96"/>
        <item x="108"/>
        <item x="120"/>
        <item x="0"/>
        <item x="12"/>
        <item x="24"/>
        <item x="36"/>
        <item x="48"/>
        <item x="60"/>
        <item x="72"/>
        <item x="83"/>
        <item x="95"/>
        <item x="107"/>
        <item x="119"/>
        <item x="6"/>
        <item x="18"/>
        <item x="30"/>
        <item x="42"/>
        <item x="54"/>
        <item x="66"/>
        <item x="77"/>
        <item x="89"/>
        <item x="101"/>
        <item x="113"/>
        <item x="5"/>
        <item x="17"/>
        <item x="29"/>
        <item x="41"/>
        <item x="53"/>
        <item x="65"/>
        <item x="76"/>
        <item x="88"/>
        <item x="100"/>
        <item x="112"/>
        <item x="2"/>
        <item x="14"/>
        <item x="26"/>
        <item x="38"/>
        <item x="50"/>
        <item x="62"/>
        <item x="74"/>
        <item x="85"/>
        <item x="97"/>
        <item x="109"/>
        <item x="121"/>
        <item x="4"/>
        <item x="16"/>
        <item x="28"/>
        <item x="40"/>
        <item x="52"/>
        <item x="64"/>
        <item x="75"/>
        <item x="87"/>
        <item x="99"/>
        <item x="111"/>
        <item x="123"/>
        <item x="10"/>
        <item x="22"/>
        <item x="34"/>
        <item x="46"/>
        <item x="58"/>
        <item x="70"/>
        <item x="81"/>
        <item x="93"/>
        <item x="105"/>
        <item x="117"/>
        <item x="9"/>
        <item x="21"/>
        <item x="33"/>
        <item x="45"/>
        <item x="57"/>
        <item x="69"/>
        <item x="80"/>
        <item x="92"/>
        <item x="104"/>
        <item x="116"/>
        <item x="8"/>
        <item x="20"/>
        <item x="32"/>
        <item x="44"/>
        <item x="56"/>
        <item x="68"/>
        <item x="79"/>
        <item x="91"/>
        <item x="103"/>
        <item x="115"/>
        <item t="default"/>
      </items>
    </pivotField>
    <pivotField axis="axisRow" showAll="0">
      <items count="12">
        <item x="0"/>
        <item x="1"/>
        <item x="2"/>
        <item x="3"/>
        <item x="4"/>
        <item x="5"/>
        <item x="6"/>
        <item x="7"/>
        <item x="8"/>
        <item x="9"/>
        <item x="10"/>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s>
  <rowFields count="1">
    <field x="2"/>
  </rowFields>
  <rowItems count="12">
    <i>
      <x/>
    </i>
    <i>
      <x v="1"/>
    </i>
    <i>
      <x v="2"/>
    </i>
    <i>
      <x v="3"/>
    </i>
    <i>
      <x v="4"/>
    </i>
    <i>
      <x v="5"/>
    </i>
    <i>
      <x v="6"/>
    </i>
    <i>
      <x v="7"/>
    </i>
    <i>
      <x v="8"/>
    </i>
    <i>
      <x v="9"/>
    </i>
    <i>
      <x v="10"/>
    </i>
    <i t="grand">
      <x/>
    </i>
  </rowItems>
  <colFields count="1">
    <field x="0"/>
  </colFields>
  <colItems count="4">
    <i>
      <x/>
    </i>
    <i>
      <x v="1"/>
    </i>
    <i>
      <x v="2"/>
    </i>
    <i t="grand">
      <x/>
    </i>
  </colItems>
  <dataFields count="1">
    <dataField name="Average of General index" fld="9" subtotal="average" baseField="0" baseItem="1"/>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0" count="1" selected="0">
            <x v="0"/>
          </reference>
        </references>
      </pivotArea>
    </chartFormat>
    <chartFormat chart="14" format="1" series="1">
      <pivotArea type="data" outline="0" fieldPosition="0">
        <references count="2">
          <reference field="4294967294" count="1" selected="0">
            <x v="0"/>
          </reference>
          <reference field="0" count="1" selected="0">
            <x v="1"/>
          </reference>
        </references>
      </pivotArea>
    </chartFormat>
    <chartFormat chart="14" format="2" series="1">
      <pivotArea type="data" outline="0" fieldPosition="0">
        <references count="2">
          <reference field="4294967294" count="1" selected="0">
            <x v="0"/>
          </reference>
          <reference field="0" count="1" selected="0">
            <x v="2"/>
          </reference>
        </references>
      </pivotArea>
    </chartFormat>
    <chartFormat chart="20" format="6" series="1">
      <pivotArea type="data" outline="0" fieldPosition="0">
        <references count="2">
          <reference field="4294967294" count="1" selected="0">
            <x v="0"/>
          </reference>
          <reference field="0" count="1" selected="0">
            <x v="0"/>
          </reference>
        </references>
      </pivotArea>
    </chartFormat>
    <chartFormat chart="20" format="7" series="1">
      <pivotArea type="data" outline="0" fieldPosition="0">
        <references count="2">
          <reference field="4294967294" count="1" selected="0">
            <x v="0"/>
          </reference>
          <reference field="0" count="1" selected="0">
            <x v="2"/>
          </reference>
        </references>
      </pivotArea>
    </chartFormat>
    <chartFormat chart="20" format="8" series="1">
      <pivotArea type="data" outline="0" fieldPosition="0">
        <references count="2">
          <reference field="4294967294" count="1" selected="0">
            <x v="0"/>
          </reference>
          <reference field="0" count="1" selected="0">
            <x v="1"/>
          </reference>
        </references>
      </pivotArea>
    </chartFormat>
    <chartFormat chart="21" format="6" series="1">
      <pivotArea type="data" outline="0" fieldPosition="0">
        <references count="2">
          <reference field="4294967294" count="1" selected="0">
            <x v="0"/>
          </reference>
          <reference field="0" count="1" selected="0">
            <x v="0"/>
          </reference>
        </references>
      </pivotArea>
    </chartFormat>
    <chartFormat chart="21" format="7" series="1">
      <pivotArea type="data" outline="0" fieldPosition="0">
        <references count="2">
          <reference field="4294967294" count="1" selected="0">
            <x v="0"/>
          </reference>
          <reference field="0" count="1" selected="0">
            <x v="2"/>
          </reference>
        </references>
      </pivotArea>
    </chartFormat>
    <chartFormat chart="21" format="8"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810109-9427-4470-8E0A-1839ECA923A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10">
    <pivotField showAll="0">
      <items count="4">
        <item x="0"/>
        <item x="2"/>
        <item x="1"/>
        <item t="default"/>
      </items>
    </pivotField>
    <pivotField showAll="0">
      <items count="125">
        <item x="3"/>
        <item x="15"/>
        <item x="27"/>
        <item x="39"/>
        <item x="51"/>
        <item x="63"/>
        <item x="86"/>
        <item x="98"/>
        <item x="110"/>
        <item x="122"/>
        <item x="7"/>
        <item x="19"/>
        <item x="31"/>
        <item x="43"/>
        <item x="55"/>
        <item x="67"/>
        <item x="78"/>
        <item x="90"/>
        <item x="102"/>
        <item x="114"/>
        <item x="11"/>
        <item x="23"/>
        <item x="35"/>
        <item x="47"/>
        <item x="59"/>
        <item x="71"/>
        <item x="82"/>
        <item x="94"/>
        <item x="106"/>
        <item x="118"/>
        <item x="1"/>
        <item x="13"/>
        <item x="25"/>
        <item x="37"/>
        <item x="49"/>
        <item x="61"/>
        <item x="73"/>
        <item x="84"/>
        <item x="96"/>
        <item x="108"/>
        <item x="120"/>
        <item x="0"/>
        <item x="12"/>
        <item x="24"/>
        <item x="36"/>
        <item x="48"/>
        <item x="60"/>
        <item x="72"/>
        <item x="83"/>
        <item x="95"/>
        <item x="107"/>
        <item x="119"/>
        <item x="6"/>
        <item x="18"/>
        <item x="30"/>
        <item x="42"/>
        <item x="54"/>
        <item x="66"/>
        <item x="77"/>
        <item x="89"/>
        <item x="101"/>
        <item x="113"/>
        <item x="5"/>
        <item x="17"/>
        <item x="29"/>
        <item x="41"/>
        <item x="53"/>
        <item x="65"/>
        <item x="76"/>
        <item x="88"/>
        <item x="100"/>
        <item x="112"/>
        <item x="2"/>
        <item x="14"/>
        <item x="26"/>
        <item x="38"/>
        <item x="50"/>
        <item x="62"/>
        <item x="74"/>
        <item x="85"/>
        <item x="97"/>
        <item x="109"/>
        <item x="121"/>
        <item x="4"/>
        <item x="16"/>
        <item x="28"/>
        <item x="40"/>
        <item x="52"/>
        <item x="64"/>
        <item x="75"/>
        <item x="87"/>
        <item x="99"/>
        <item x="111"/>
        <item x="123"/>
        <item x="10"/>
        <item x="22"/>
        <item x="34"/>
        <item x="46"/>
        <item x="58"/>
        <item x="70"/>
        <item x="81"/>
        <item x="93"/>
        <item x="105"/>
        <item x="117"/>
        <item x="9"/>
        <item x="21"/>
        <item x="33"/>
        <item x="45"/>
        <item x="57"/>
        <item x="69"/>
        <item x="80"/>
        <item x="92"/>
        <item x="104"/>
        <item x="116"/>
        <item x="8"/>
        <item x="20"/>
        <item x="32"/>
        <item x="44"/>
        <item x="56"/>
        <item x="68"/>
        <item x="79"/>
        <item x="91"/>
        <item x="103"/>
        <item x="115"/>
        <item t="default"/>
      </items>
    </pivotField>
    <pivotField showAll="0">
      <items count="12">
        <item x="0"/>
        <item x="1"/>
        <item x="2"/>
        <item x="3"/>
        <item x="4"/>
        <item x="5"/>
        <item x="6"/>
        <item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s>
  <rowFields count="1">
    <field x="3"/>
  </rowFields>
  <rowItems count="13">
    <i>
      <x/>
    </i>
    <i>
      <x v="1"/>
    </i>
    <i>
      <x v="2"/>
    </i>
    <i>
      <x v="3"/>
    </i>
    <i>
      <x v="4"/>
    </i>
    <i>
      <x v="5"/>
    </i>
    <i>
      <x v="6"/>
    </i>
    <i>
      <x v="7"/>
    </i>
    <i>
      <x v="8"/>
    </i>
    <i>
      <x v="9"/>
    </i>
    <i>
      <x v="10"/>
    </i>
    <i>
      <x v="11"/>
    </i>
    <i t="grand">
      <x/>
    </i>
  </rowItems>
  <colItems count="1">
    <i/>
  </colItems>
  <dataFields count="1">
    <dataField name="Sum of General index"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6F311B-A1A6-4115-8552-8AA1455B2FEA}" autoFormatId="16" applyNumberFormats="0" applyBorderFormats="0" applyFontFormats="0" applyPatternFormats="0" applyAlignmentFormats="0" applyWidthHeightFormats="0">
  <queryTableRefresh nextId="7">
    <queryTableFields count="3">
      <queryTableField id="1" name="IMPORT/EXPORT" tableColumnId="1"/>
      <queryTableField id="2" name="YEAR" tableColumnId="2"/>
      <queryTableField id="3" name=" CRUDE OIL" tableColumnId="3"/>
    </queryTableFields>
    <queryTableDeletedFields count="3">
      <deletedField name="Column4"/>
      <deletedField name="Column5"/>
      <deletedField name="Column6"/>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53A0D8B9-77FE-4B0F-8005-74121ECD4C7A}" sourceName="Sector">
  <pivotTables>
    <pivotTable tabId="28" name="PivotTable2"/>
    <pivotTable tabId="28" name="PivotTable3"/>
  </pivotTables>
  <data>
    <tabular pivotCacheId="72909908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70DEFB0-342D-4D07-9DA5-4D9DEE0D9C6A}" sourceName="Year">
  <pivotTables>
    <pivotTable tabId="28" name="PivotTable2"/>
  </pivotTables>
  <data>
    <tabular pivotCacheId="729099082">
      <items count="11">
        <i x="0" s="1"/>
        <i x="1" s="1"/>
        <i x="2" s="1"/>
        <i x="3" s="1"/>
        <i x="4" s="1"/>
        <i x="5" s="1"/>
        <i x="6" s="1"/>
        <i x="7" s="1"/>
        <i x="8" s="1"/>
        <i x="9"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8CA4766-EC0A-4FE6-BF91-6F01874F8CB5}" sourceName="Month">
  <pivotTables>
    <pivotTable tabId="28" name="PivotTable2"/>
  </pivotTables>
  <data>
    <tabular pivotCacheId="729099082">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DC83C9D4-8A0D-4B4B-B8E6-D9B90EA6D202}" cache="Slicer_Sector" caption="Sector" rowHeight="220133"/>
  <slicer name="Year" xr10:uid="{8D9FA818-1707-4243-82CB-4871B36370D1}" cache="Slicer_Year" caption="Year" startItem="1" rowHeight="220133"/>
  <slicer name="Month" xr10:uid="{C3573444-997D-442A-B855-3D86CB05EDED}" cache="Slicer_Month" caption="Month" startItem="4" rowHeight="22013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8D3003-41AE-4B4A-B5C2-33E8C3B6DEC7}" name="Sheet1" displayName="Sheet1" ref="A1:C25" tableType="queryTable" totalsRowShown="0">
  <autoFilter ref="A1:C25" xr:uid="{D88D3003-41AE-4B4A-B5C2-33E8C3B6DEC7}"/>
  <tableColumns count="3">
    <tableColumn id="1" xr3:uid="{4D2483E9-B8CC-44DC-A649-669A2F1E011B}" uniqueName="1" name="IMPORT/EXPORT" queryTableFieldId="1" dataDxfId="0"/>
    <tableColumn id="2" xr3:uid="{B22EF594-6710-4501-8D2B-9884F07E8E2C}" uniqueName="2" name="YEAR" queryTableFieldId="2"/>
    <tableColumn id="3" xr3:uid="{2BAAF4EC-1C4D-48EA-9D77-39CA7FB57AB2}" uniqueName="3" name=" CRUDE OIL" queryTableFieldId="3"/>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373"/>
  <sheetViews>
    <sheetView zoomScale="80" workbookViewId="0">
      <selection activeCell="C15" sqref="C15"/>
    </sheetView>
  </sheetViews>
  <sheetFormatPr defaultColWidth="12.6328125" defaultRowHeight="15.75" customHeight="1" x14ac:dyDescent="0.25"/>
  <cols>
    <col min="4" max="4" width="21.54296875" customWidth="1"/>
    <col min="5" max="5" width="14.1796875" customWidth="1"/>
    <col min="7" max="7" width="18.26953125" customWidth="1"/>
    <col min="8" max="8" width="13.36328125" customWidth="1"/>
    <col min="11" max="11" width="19.36328125" customWidth="1"/>
    <col min="12" max="12" width="22.7265625" customWidth="1"/>
    <col min="14" max="14" width="22.08984375" customWidth="1"/>
    <col min="15" max="15" width="32.90625" customWidth="1"/>
    <col min="16" max="16" width="23.36328125" customWidth="1"/>
    <col min="17" max="17" width="28.453125" customWidth="1"/>
    <col min="20" max="20" width="21.26953125" customWidth="1"/>
    <col min="23" max="23" width="29.1796875" customWidth="1"/>
    <col min="25" max="25" width="28.36328125" customWidth="1"/>
    <col min="26" max="26" width="27.6328125" customWidth="1"/>
    <col min="28" max="28" width="25.6328125" customWidth="1"/>
    <col min="29" max="29" width="15.81640625" customWidth="1"/>
    <col min="30" max="30" width="15.6328125" customWidth="1"/>
  </cols>
  <sheetData>
    <row r="1" spans="1:30" s="3" customFormat="1" ht="15.7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15.75" customHeight="1" x14ac:dyDescent="0.25">
      <c r="A2" s="1" t="s">
        <v>30</v>
      </c>
      <c r="B2" s="1">
        <v>2013</v>
      </c>
      <c r="C2" s="1" t="s">
        <v>31</v>
      </c>
      <c r="D2" s="1">
        <v>107.5</v>
      </c>
      <c r="E2" s="1">
        <v>106.3</v>
      </c>
      <c r="F2" s="1">
        <v>108.1</v>
      </c>
      <c r="G2" s="1">
        <v>104.9</v>
      </c>
      <c r="H2" s="1">
        <v>106.1</v>
      </c>
      <c r="I2" s="1">
        <v>103.9</v>
      </c>
      <c r="J2" s="1">
        <v>101.9</v>
      </c>
      <c r="K2" s="1">
        <v>106.1</v>
      </c>
      <c r="L2" s="1">
        <v>106.8</v>
      </c>
      <c r="M2" s="1">
        <v>103.1</v>
      </c>
      <c r="N2" s="1">
        <v>104.8</v>
      </c>
      <c r="O2" s="1">
        <v>106.7</v>
      </c>
      <c r="P2" s="1">
        <v>105.5</v>
      </c>
      <c r="Q2" s="1">
        <v>105.1</v>
      </c>
      <c r="R2" s="1">
        <v>106.5</v>
      </c>
      <c r="S2" s="1">
        <v>105.8</v>
      </c>
      <c r="T2" s="1">
        <v>106.4</v>
      </c>
      <c r="U2" s="1" t="s">
        <v>32</v>
      </c>
      <c r="V2" s="1">
        <v>105.5</v>
      </c>
      <c r="W2" s="1">
        <v>104.8</v>
      </c>
      <c r="X2" s="1">
        <v>104</v>
      </c>
      <c r="Y2" s="1">
        <v>103.3</v>
      </c>
      <c r="Z2" s="1">
        <v>103.4</v>
      </c>
      <c r="AA2" s="1">
        <v>103.8</v>
      </c>
      <c r="AB2" s="1">
        <v>104.7</v>
      </c>
      <c r="AC2" s="1">
        <v>104</v>
      </c>
      <c r="AD2" s="1">
        <v>105.1</v>
      </c>
    </row>
    <row r="3" spans="1:30" ht="15.75" customHeight="1" x14ac:dyDescent="0.25">
      <c r="A3" s="1" t="s">
        <v>33</v>
      </c>
      <c r="B3" s="1">
        <v>2013</v>
      </c>
      <c r="C3" s="1" t="s">
        <v>31</v>
      </c>
      <c r="D3" s="1">
        <v>110.5</v>
      </c>
      <c r="E3" s="1">
        <v>109.1</v>
      </c>
      <c r="F3" s="1">
        <v>113</v>
      </c>
      <c r="G3" s="1">
        <v>103.6</v>
      </c>
      <c r="H3" s="1">
        <v>103.4</v>
      </c>
      <c r="I3" s="1">
        <v>102.3</v>
      </c>
      <c r="J3" s="1">
        <v>102.9</v>
      </c>
      <c r="K3" s="1">
        <v>105.8</v>
      </c>
      <c r="L3" s="1">
        <v>105.1</v>
      </c>
      <c r="M3" s="1">
        <v>101.8</v>
      </c>
      <c r="N3" s="1">
        <v>105.1</v>
      </c>
      <c r="O3" s="1">
        <v>107.9</v>
      </c>
      <c r="P3" s="1">
        <v>105.9</v>
      </c>
      <c r="Q3" s="1">
        <v>105.2</v>
      </c>
      <c r="R3" s="1">
        <v>105.9</v>
      </c>
      <c r="S3" s="1">
        <v>105</v>
      </c>
      <c r="T3" s="1">
        <v>105.8</v>
      </c>
      <c r="U3" s="1">
        <v>100.3</v>
      </c>
      <c r="V3" s="1">
        <v>105.4</v>
      </c>
      <c r="W3" s="1">
        <v>104.8</v>
      </c>
      <c r="X3" s="1">
        <v>104.1</v>
      </c>
      <c r="Y3" s="1">
        <v>103.2</v>
      </c>
      <c r="Z3" s="1">
        <v>102.9</v>
      </c>
      <c r="AA3" s="1">
        <v>103.5</v>
      </c>
      <c r="AB3" s="1">
        <v>104.3</v>
      </c>
      <c r="AC3" s="1">
        <v>103.7</v>
      </c>
      <c r="AD3" s="1">
        <v>104</v>
      </c>
    </row>
    <row r="4" spans="1:30" ht="15.75" customHeight="1" x14ac:dyDescent="0.25">
      <c r="A4" s="1" t="s">
        <v>34</v>
      </c>
      <c r="B4" s="1">
        <v>2013</v>
      </c>
      <c r="C4" s="1" t="s">
        <v>31</v>
      </c>
      <c r="D4" s="1">
        <v>108.4</v>
      </c>
      <c r="E4" s="1">
        <v>107.3</v>
      </c>
      <c r="F4" s="1">
        <v>110</v>
      </c>
      <c r="G4" s="1">
        <v>104.4</v>
      </c>
      <c r="H4" s="1">
        <v>105.1</v>
      </c>
      <c r="I4" s="1">
        <v>103.2</v>
      </c>
      <c r="J4" s="1">
        <v>102.2</v>
      </c>
      <c r="K4" s="1">
        <v>106</v>
      </c>
      <c r="L4" s="1">
        <v>106.2</v>
      </c>
      <c r="M4" s="1">
        <v>102.7</v>
      </c>
      <c r="N4" s="1">
        <v>104.9</v>
      </c>
      <c r="O4" s="1">
        <v>107.3</v>
      </c>
      <c r="P4" s="1">
        <v>105.6</v>
      </c>
      <c r="Q4" s="1">
        <v>105.1</v>
      </c>
      <c r="R4" s="1">
        <v>106.3</v>
      </c>
      <c r="S4" s="1">
        <v>105.5</v>
      </c>
      <c r="T4" s="1">
        <v>106.2</v>
      </c>
      <c r="U4" s="1">
        <v>100.3</v>
      </c>
      <c r="V4" s="1">
        <v>105.5</v>
      </c>
      <c r="W4" s="1">
        <v>104.8</v>
      </c>
      <c r="X4" s="1">
        <v>104</v>
      </c>
      <c r="Y4" s="1">
        <v>103.2</v>
      </c>
      <c r="Z4" s="1">
        <v>103.1</v>
      </c>
      <c r="AA4" s="1">
        <v>103.6</v>
      </c>
      <c r="AB4" s="1">
        <v>104.5</v>
      </c>
      <c r="AC4" s="1">
        <v>103.9</v>
      </c>
      <c r="AD4" s="1">
        <v>104.6</v>
      </c>
    </row>
    <row r="5" spans="1:30" ht="15.75" customHeight="1" x14ac:dyDescent="0.25">
      <c r="A5" s="1" t="s">
        <v>30</v>
      </c>
      <c r="B5" s="1">
        <v>2013</v>
      </c>
      <c r="C5" s="1" t="s">
        <v>35</v>
      </c>
      <c r="D5" s="1">
        <v>109.2</v>
      </c>
      <c r="E5" s="1">
        <v>108.7</v>
      </c>
      <c r="F5" s="1">
        <v>110.2</v>
      </c>
      <c r="G5" s="1">
        <v>105.4</v>
      </c>
      <c r="H5" s="1">
        <v>106.7</v>
      </c>
      <c r="I5" s="1">
        <v>104</v>
      </c>
      <c r="J5" s="1">
        <v>102.4</v>
      </c>
      <c r="K5" s="1">
        <v>105.9</v>
      </c>
      <c r="L5" s="1">
        <v>105.7</v>
      </c>
      <c r="M5" s="1">
        <v>103.1</v>
      </c>
      <c r="N5" s="1">
        <v>105.1</v>
      </c>
      <c r="O5" s="1">
        <v>107.7</v>
      </c>
      <c r="P5" s="1">
        <v>106.3</v>
      </c>
      <c r="Q5" s="1">
        <v>105.6</v>
      </c>
      <c r="R5" s="1">
        <v>107.1</v>
      </c>
      <c r="S5" s="1">
        <v>106.3</v>
      </c>
      <c r="T5" s="1">
        <v>107</v>
      </c>
      <c r="U5" s="1" t="s">
        <v>32</v>
      </c>
      <c r="V5" s="1">
        <v>106.2</v>
      </c>
      <c r="W5" s="1">
        <v>105.2</v>
      </c>
      <c r="X5" s="1">
        <v>104.4</v>
      </c>
      <c r="Y5" s="1">
        <v>103.9</v>
      </c>
      <c r="Z5" s="1">
        <v>104</v>
      </c>
      <c r="AA5" s="1">
        <v>104.1</v>
      </c>
      <c r="AB5" s="1">
        <v>104.6</v>
      </c>
      <c r="AC5" s="1">
        <v>104.4</v>
      </c>
      <c r="AD5" s="1">
        <v>105.8</v>
      </c>
    </row>
    <row r="6" spans="1:30" ht="15.75" customHeight="1" x14ac:dyDescent="0.25">
      <c r="A6" s="1" t="s">
        <v>33</v>
      </c>
      <c r="B6" s="1">
        <v>2013</v>
      </c>
      <c r="C6" s="1" t="s">
        <v>35</v>
      </c>
      <c r="D6" s="1">
        <v>112.9</v>
      </c>
      <c r="E6" s="1">
        <v>112.9</v>
      </c>
      <c r="F6" s="1">
        <v>116.9</v>
      </c>
      <c r="G6" s="1">
        <v>104</v>
      </c>
      <c r="H6" s="1">
        <v>103.5</v>
      </c>
      <c r="I6" s="1">
        <v>103.1</v>
      </c>
      <c r="J6" s="1">
        <v>104.9</v>
      </c>
      <c r="K6" s="1">
        <v>104.1</v>
      </c>
      <c r="L6" s="1">
        <v>103.8</v>
      </c>
      <c r="M6" s="1">
        <v>102.3</v>
      </c>
      <c r="N6" s="1">
        <v>106</v>
      </c>
      <c r="O6" s="1">
        <v>109</v>
      </c>
      <c r="P6" s="1">
        <v>107.2</v>
      </c>
      <c r="Q6" s="1">
        <v>106</v>
      </c>
      <c r="R6" s="1">
        <v>106.6</v>
      </c>
      <c r="S6" s="1">
        <v>105.5</v>
      </c>
      <c r="T6" s="1">
        <v>106.4</v>
      </c>
      <c r="U6" s="1">
        <v>100.4</v>
      </c>
      <c r="V6" s="1">
        <v>105.7</v>
      </c>
      <c r="W6" s="1">
        <v>105.2</v>
      </c>
      <c r="X6" s="1">
        <v>104.7</v>
      </c>
      <c r="Y6" s="1">
        <v>104.4</v>
      </c>
      <c r="Z6" s="1">
        <v>103.3</v>
      </c>
      <c r="AA6" s="1">
        <v>103.7</v>
      </c>
      <c r="AB6" s="1">
        <v>104.3</v>
      </c>
      <c r="AC6" s="1">
        <v>104.3</v>
      </c>
      <c r="AD6" s="1">
        <v>104.7</v>
      </c>
    </row>
    <row r="7" spans="1:30" ht="15.75" customHeight="1" x14ac:dyDescent="0.25">
      <c r="A7" s="1" t="s">
        <v>34</v>
      </c>
      <c r="B7" s="1">
        <v>2013</v>
      </c>
      <c r="C7" s="1" t="s">
        <v>35</v>
      </c>
      <c r="D7" s="1">
        <v>110.4</v>
      </c>
      <c r="E7" s="1">
        <v>110.2</v>
      </c>
      <c r="F7" s="1">
        <v>112.8</v>
      </c>
      <c r="G7" s="1">
        <v>104.9</v>
      </c>
      <c r="H7" s="1">
        <v>105.5</v>
      </c>
      <c r="I7" s="1">
        <v>103.6</v>
      </c>
      <c r="J7" s="1">
        <v>103.2</v>
      </c>
      <c r="K7" s="1">
        <v>105.3</v>
      </c>
      <c r="L7" s="1">
        <v>105.1</v>
      </c>
      <c r="M7" s="1">
        <v>102.8</v>
      </c>
      <c r="N7" s="1">
        <v>105.5</v>
      </c>
      <c r="O7" s="1">
        <v>108.3</v>
      </c>
      <c r="P7" s="1">
        <v>106.6</v>
      </c>
      <c r="Q7" s="1">
        <v>105.7</v>
      </c>
      <c r="R7" s="1">
        <v>106.9</v>
      </c>
      <c r="S7" s="1">
        <v>106</v>
      </c>
      <c r="T7" s="1">
        <v>106.8</v>
      </c>
      <c r="U7" s="1">
        <v>100.4</v>
      </c>
      <c r="V7" s="1">
        <v>106</v>
      </c>
      <c r="W7" s="1">
        <v>105.2</v>
      </c>
      <c r="X7" s="1">
        <v>104.5</v>
      </c>
      <c r="Y7" s="1">
        <v>104.2</v>
      </c>
      <c r="Z7" s="1">
        <v>103.6</v>
      </c>
      <c r="AA7" s="1">
        <v>103.9</v>
      </c>
      <c r="AB7" s="1">
        <v>104.5</v>
      </c>
      <c r="AC7" s="1">
        <v>104.4</v>
      </c>
      <c r="AD7" s="1">
        <v>105.3</v>
      </c>
    </row>
    <row r="8" spans="1:30" ht="15.75" customHeight="1" x14ac:dyDescent="0.25">
      <c r="A8" s="1" t="s">
        <v>30</v>
      </c>
      <c r="B8" s="1">
        <v>2013</v>
      </c>
      <c r="C8" s="1" t="s">
        <v>36</v>
      </c>
      <c r="D8" s="1">
        <v>110.2</v>
      </c>
      <c r="E8" s="1">
        <v>108.8</v>
      </c>
      <c r="F8" s="1">
        <v>109.9</v>
      </c>
      <c r="G8" s="1">
        <v>105.6</v>
      </c>
      <c r="H8" s="1">
        <v>106.2</v>
      </c>
      <c r="I8" s="1">
        <v>105.7</v>
      </c>
      <c r="J8" s="1">
        <v>101.4</v>
      </c>
      <c r="K8" s="1">
        <v>105.7</v>
      </c>
      <c r="L8" s="1">
        <v>105</v>
      </c>
      <c r="M8" s="1">
        <v>103.3</v>
      </c>
      <c r="N8" s="1">
        <v>105.6</v>
      </c>
      <c r="O8" s="1">
        <v>108.2</v>
      </c>
      <c r="P8" s="1">
        <v>106.6</v>
      </c>
      <c r="Q8" s="1">
        <v>106.5</v>
      </c>
      <c r="R8" s="1">
        <v>107.6</v>
      </c>
      <c r="S8" s="1">
        <v>106.8</v>
      </c>
      <c r="T8" s="1">
        <v>107.5</v>
      </c>
      <c r="U8" s="1" t="s">
        <v>32</v>
      </c>
      <c r="V8" s="1">
        <v>106.1</v>
      </c>
      <c r="W8" s="1">
        <v>105.6</v>
      </c>
      <c r="X8" s="1">
        <v>104.7</v>
      </c>
      <c r="Y8" s="1">
        <v>104.6</v>
      </c>
      <c r="Z8" s="1">
        <v>104</v>
      </c>
      <c r="AA8" s="1">
        <v>104.3</v>
      </c>
      <c r="AB8" s="1">
        <v>104.3</v>
      </c>
      <c r="AC8" s="1">
        <v>104.6</v>
      </c>
      <c r="AD8" s="1">
        <v>106</v>
      </c>
    </row>
    <row r="9" spans="1:30" ht="15.75" customHeight="1" x14ac:dyDescent="0.25">
      <c r="A9" s="1" t="s">
        <v>33</v>
      </c>
      <c r="B9" s="1">
        <v>2013</v>
      </c>
      <c r="C9" s="1" t="s">
        <v>36</v>
      </c>
      <c r="D9" s="1">
        <v>113.9</v>
      </c>
      <c r="E9" s="1">
        <v>111.4</v>
      </c>
      <c r="F9" s="1">
        <v>113.2</v>
      </c>
      <c r="G9" s="1">
        <v>104.3</v>
      </c>
      <c r="H9" s="1">
        <v>102.7</v>
      </c>
      <c r="I9" s="1">
        <v>104.9</v>
      </c>
      <c r="J9" s="1">
        <v>103.8</v>
      </c>
      <c r="K9" s="1">
        <v>103.5</v>
      </c>
      <c r="L9" s="1">
        <v>102.6</v>
      </c>
      <c r="M9" s="1">
        <v>102.4</v>
      </c>
      <c r="N9" s="1">
        <v>107</v>
      </c>
      <c r="O9" s="1">
        <v>109.8</v>
      </c>
      <c r="P9" s="1">
        <v>107.3</v>
      </c>
      <c r="Q9" s="1">
        <v>106.8</v>
      </c>
      <c r="R9" s="1">
        <v>107.2</v>
      </c>
      <c r="S9" s="1">
        <v>106</v>
      </c>
      <c r="T9" s="1">
        <v>107</v>
      </c>
      <c r="U9" s="1">
        <v>100.4</v>
      </c>
      <c r="V9" s="1">
        <v>106</v>
      </c>
      <c r="W9" s="1">
        <v>105.7</v>
      </c>
      <c r="X9" s="1">
        <v>105.2</v>
      </c>
      <c r="Y9" s="1">
        <v>105.5</v>
      </c>
      <c r="Z9" s="1">
        <v>103.5</v>
      </c>
      <c r="AA9" s="1">
        <v>103.8</v>
      </c>
      <c r="AB9" s="1">
        <v>104.2</v>
      </c>
      <c r="AC9" s="1">
        <v>104.9</v>
      </c>
      <c r="AD9" s="1">
        <v>105</v>
      </c>
    </row>
    <row r="10" spans="1:30" ht="15.75" customHeight="1" x14ac:dyDescent="0.25">
      <c r="A10" s="1" t="s">
        <v>34</v>
      </c>
      <c r="B10" s="1">
        <v>2013</v>
      </c>
      <c r="C10" s="1" t="s">
        <v>36</v>
      </c>
      <c r="D10" s="1">
        <v>111.4</v>
      </c>
      <c r="E10" s="1">
        <v>109.7</v>
      </c>
      <c r="F10" s="1">
        <v>111.2</v>
      </c>
      <c r="G10" s="1">
        <v>105.1</v>
      </c>
      <c r="H10" s="1">
        <v>104.9</v>
      </c>
      <c r="I10" s="1">
        <v>105.3</v>
      </c>
      <c r="J10" s="1">
        <v>102.2</v>
      </c>
      <c r="K10" s="1">
        <v>105</v>
      </c>
      <c r="L10" s="1">
        <v>104.2</v>
      </c>
      <c r="M10" s="1">
        <v>103</v>
      </c>
      <c r="N10" s="1">
        <v>106.2</v>
      </c>
      <c r="O10" s="1">
        <v>108.9</v>
      </c>
      <c r="P10" s="1">
        <v>106.9</v>
      </c>
      <c r="Q10" s="1">
        <v>106.6</v>
      </c>
      <c r="R10" s="1">
        <v>107.4</v>
      </c>
      <c r="S10" s="1">
        <v>106.5</v>
      </c>
      <c r="T10" s="1">
        <v>107.3</v>
      </c>
      <c r="U10" s="1">
        <v>100.4</v>
      </c>
      <c r="V10" s="1">
        <v>106.1</v>
      </c>
      <c r="W10" s="1">
        <v>105.6</v>
      </c>
      <c r="X10" s="1">
        <v>104.9</v>
      </c>
      <c r="Y10" s="1">
        <v>105.1</v>
      </c>
      <c r="Z10" s="1">
        <v>103.7</v>
      </c>
      <c r="AA10" s="1">
        <v>104</v>
      </c>
      <c r="AB10" s="1">
        <v>104.3</v>
      </c>
      <c r="AC10" s="1">
        <v>104.7</v>
      </c>
      <c r="AD10" s="1">
        <v>105.5</v>
      </c>
    </row>
    <row r="11" spans="1:30" ht="15.75" customHeight="1" x14ac:dyDescent="0.25">
      <c r="A11" s="1" t="s">
        <v>30</v>
      </c>
      <c r="B11" s="1">
        <v>2013</v>
      </c>
      <c r="C11" s="1" t="s">
        <v>37</v>
      </c>
      <c r="D11" s="1">
        <v>110.2</v>
      </c>
      <c r="E11" s="1">
        <v>109.5</v>
      </c>
      <c r="F11" s="1">
        <v>106.9</v>
      </c>
      <c r="G11" s="1">
        <v>106.3</v>
      </c>
      <c r="H11" s="1">
        <v>105.7</v>
      </c>
      <c r="I11" s="1">
        <v>108.3</v>
      </c>
      <c r="J11" s="1">
        <v>103.4</v>
      </c>
      <c r="K11" s="1">
        <v>105.7</v>
      </c>
      <c r="L11" s="1">
        <v>104.2</v>
      </c>
      <c r="M11" s="1">
        <v>103.2</v>
      </c>
      <c r="N11" s="1">
        <v>106.5</v>
      </c>
      <c r="O11" s="1">
        <v>108.8</v>
      </c>
      <c r="P11" s="1">
        <v>107.1</v>
      </c>
      <c r="Q11" s="1">
        <v>107.1</v>
      </c>
      <c r="R11" s="1">
        <v>108.1</v>
      </c>
      <c r="S11" s="1">
        <v>107.4</v>
      </c>
      <c r="T11" s="1">
        <v>108</v>
      </c>
      <c r="U11" s="1" t="s">
        <v>32</v>
      </c>
      <c r="V11" s="1">
        <v>106.5</v>
      </c>
      <c r="W11" s="1">
        <v>106.1</v>
      </c>
      <c r="X11" s="1">
        <v>105.1</v>
      </c>
      <c r="Y11" s="1">
        <v>104.4</v>
      </c>
      <c r="Z11" s="1">
        <v>104.5</v>
      </c>
      <c r="AA11" s="1">
        <v>104.8</v>
      </c>
      <c r="AB11" s="1">
        <v>102.7</v>
      </c>
      <c r="AC11" s="1">
        <v>104.6</v>
      </c>
      <c r="AD11" s="1">
        <v>106.4</v>
      </c>
    </row>
    <row r="12" spans="1:30" ht="15.75" customHeight="1" x14ac:dyDescent="0.25">
      <c r="A12" s="1" t="s">
        <v>33</v>
      </c>
      <c r="B12" s="1">
        <v>2013</v>
      </c>
      <c r="C12" s="1" t="s">
        <v>37</v>
      </c>
      <c r="D12" s="1">
        <v>114.6</v>
      </c>
      <c r="E12" s="1">
        <v>113.4</v>
      </c>
      <c r="F12" s="1">
        <v>106</v>
      </c>
      <c r="G12" s="1">
        <v>104.7</v>
      </c>
      <c r="H12" s="1">
        <v>102.1</v>
      </c>
      <c r="I12" s="1">
        <v>109.5</v>
      </c>
      <c r="J12" s="1">
        <v>109.7</v>
      </c>
      <c r="K12" s="1">
        <v>104.6</v>
      </c>
      <c r="L12" s="1">
        <v>102</v>
      </c>
      <c r="M12" s="1">
        <v>103.5</v>
      </c>
      <c r="N12" s="1">
        <v>108.2</v>
      </c>
      <c r="O12" s="1">
        <v>110.6</v>
      </c>
      <c r="P12" s="1">
        <v>108.8</v>
      </c>
      <c r="Q12" s="1">
        <v>108.5</v>
      </c>
      <c r="R12" s="1">
        <v>107.9</v>
      </c>
      <c r="S12" s="1">
        <v>106.4</v>
      </c>
      <c r="T12" s="1">
        <v>107.7</v>
      </c>
      <c r="U12" s="1">
        <v>100.5</v>
      </c>
      <c r="V12" s="1">
        <v>106.4</v>
      </c>
      <c r="W12" s="1">
        <v>106.5</v>
      </c>
      <c r="X12" s="1">
        <v>105.7</v>
      </c>
      <c r="Y12" s="1">
        <v>105</v>
      </c>
      <c r="Z12" s="1">
        <v>104</v>
      </c>
      <c r="AA12" s="1">
        <v>105.2</v>
      </c>
      <c r="AB12" s="1">
        <v>103.2</v>
      </c>
      <c r="AC12" s="1">
        <v>105.1</v>
      </c>
      <c r="AD12" s="1">
        <v>105.7</v>
      </c>
    </row>
    <row r="13" spans="1:30" ht="15.75" customHeight="1" x14ac:dyDescent="0.25">
      <c r="A13" s="1" t="s">
        <v>34</v>
      </c>
      <c r="B13" s="1">
        <v>2013</v>
      </c>
      <c r="C13" s="1" t="s">
        <v>37</v>
      </c>
      <c r="D13" s="1">
        <v>111.6</v>
      </c>
      <c r="E13" s="1">
        <v>110.9</v>
      </c>
      <c r="F13" s="1">
        <v>106.6</v>
      </c>
      <c r="G13" s="1">
        <v>105.7</v>
      </c>
      <c r="H13" s="1">
        <v>104.4</v>
      </c>
      <c r="I13" s="1">
        <v>108.9</v>
      </c>
      <c r="J13" s="1">
        <v>105.5</v>
      </c>
      <c r="K13" s="1">
        <v>105.3</v>
      </c>
      <c r="L13" s="1">
        <v>103.5</v>
      </c>
      <c r="M13" s="1">
        <v>103.3</v>
      </c>
      <c r="N13" s="1">
        <v>107.2</v>
      </c>
      <c r="O13" s="1">
        <v>109.6</v>
      </c>
      <c r="P13" s="1">
        <v>107.7</v>
      </c>
      <c r="Q13" s="1">
        <v>107.5</v>
      </c>
      <c r="R13" s="1">
        <v>108</v>
      </c>
      <c r="S13" s="1">
        <v>107</v>
      </c>
      <c r="T13" s="1">
        <v>107.9</v>
      </c>
      <c r="U13" s="1">
        <v>100.5</v>
      </c>
      <c r="V13" s="1">
        <v>106.5</v>
      </c>
      <c r="W13" s="1">
        <v>106.3</v>
      </c>
      <c r="X13" s="1">
        <v>105.3</v>
      </c>
      <c r="Y13" s="1">
        <v>104.7</v>
      </c>
      <c r="Z13" s="1">
        <v>104.2</v>
      </c>
      <c r="AA13" s="1">
        <v>105</v>
      </c>
      <c r="AB13" s="1">
        <v>102.9</v>
      </c>
      <c r="AC13" s="1">
        <v>104.8</v>
      </c>
      <c r="AD13" s="1">
        <v>106.1</v>
      </c>
    </row>
    <row r="14" spans="1:30" ht="15.75" customHeight="1" x14ac:dyDescent="0.25">
      <c r="A14" s="1" t="s">
        <v>30</v>
      </c>
      <c r="B14" s="1">
        <v>2013</v>
      </c>
      <c r="C14" s="1" t="s">
        <v>38</v>
      </c>
      <c r="D14" s="1">
        <v>110.9</v>
      </c>
      <c r="E14" s="1">
        <v>109.8</v>
      </c>
      <c r="F14" s="1">
        <v>105.9</v>
      </c>
      <c r="G14" s="1">
        <v>107.5</v>
      </c>
      <c r="H14" s="1">
        <v>105.3</v>
      </c>
      <c r="I14" s="1">
        <v>108.1</v>
      </c>
      <c r="J14" s="1">
        <v>107.3</v>
      </c>
      <c r="K14" s="1">
        <v>106.1</v>
      </c>
      <c r="L14" s="1">
        <v>103.7</v>
      </c>
      <c r="M14" s="1">
        <v>104</v>
      </c>
      <c r="N14" s="1">
        <v>107.4</v>
      </c>
      <c r="O14" s="1">
        <v>109.9</v>
      </c>
      <c r="P14" s="1">
        <v>108.1</v>
      </c>
      <c r="Q14" s="1">
        <v>108.1</v>
      </c>
      <c r="R14" s="1">
        <v>108.8</v>
      </c>
      <c r="S14" s="1">
        <v>107.9</v>
      </c>
      <c r="T14" s="1">
        <v>108.6</v>
      </c>
      <c r="U14" s="1" t="s">
        <v>32</v>
      </c>
      <c r="V14" s="1">
        <v>107.5</v>
      </c>
      <c r="W14" s="1">
        <v>106.8</v>
      </c>
      <c r="X14" s="1">
        <v>105.7</v>
      </c>
      <c r="Y14" s="1">
        <v>104.1</v>
      </c>
      <c r="Z14" s="1">
        <v>105</v>
      </c>
      <c r="AA14" s="1">
        <v>105.5</v>
      </c>
      <c r="AB14" s="1">
        <v>102.1</v>
      </c>
      <c r="AC14" s="1">
        <v>104.8</v>
      </c>
      <c r="AD14" s="1">
        <v>107.2</v>
      </c>
    </row>
    <row r="15" spans="1:30" ht="15.75" customHeight="1" x14ac:dyDescent="0.25">
      <c r="A15" s="1" t="s">
        <v>33</v>
      </c>
      <c r="B15" s="1">
        <v>2013</v>
      </c>
      <c r="C15" s="1" t="s">
        <v>38</v>
      </c>
      <c r="D15" s="1">
        <v>115.4</v>
      </c>
      <c r="E15" s="1">
        <v>114.2</v>
      </c>
      <c r="F15" s="1">
        <v>102.7</v>
      </c>
      <c r="G15" s="1">
        <v>105.5</v>
      </c>
      <c r="H15" s="1">
        <v>101.5</v>
      </c>
      <c r="I15" s="1">
        <v>110.6</v>
      </c>
      <c r="J15" s="1">
        <v>123.7</v>
      </c>
      <c r="K15" s="1">
        <v>105.2</v>
      </c>
      <c r="L15" s="1">
        <v>101.9</v>
      </c>
      <c r="M15" s="1">
        <v>105</v>
      </c>
      <c r="N15" s="1">
        <v>109.1</v>
      </c>
      <c r="O15" s="1">
        <v>111.3</v>
      </c>
      <c r="P15" s="1">
        <v>111.1</v>
      </c>
      <c r="Q15" s="1">
        <v>109.8</v>
      </c>
      <c r="R15" s="1">
        <v>108.5</v>
      </c>
      <c r="S15" s="1">
        <v>106.7</v>
      </c>
      <c r="T15" s="1">
        <v>108.3</v>
      </c>
      <c r="U15" s="1">
        <v>100.5</v>
      </c>
      <c r="V15" s="1">
        <v>107.2</v>
      </c>
      <c r="W15" s="1">
        <v>107.1</v>
      </c>
      <c r="X15" s="1">
        <v>106.2</v>
      </c>
      <c r="Y15" s="1">
        <v>103.9</v>
      </c>
      <c r="Z15" s="1">
        <v>104.6</v>
      </c>
      <c r="AA15" s="1">
        <v>105.7</v>
      </c>
      <c r="AB15" s="1">
        <v>102.6</v>
      </c>
      <c r="AC15" s="1">
        <v>104.9</v>
      </c>
      <c r="AD15" s="1">
        <v>106.6</v>
      </c>
    </row>
    <row r="16" spans="1:30" ht="15.75" customHeight="1" x14ac:dyDescent="0.25">
      <c r="A16" s="1" t="s">
        <v>34</v>
      </c>
      <c r="B16" s="1">
        <v>2013</v>
      </c>
      <c r="C16" s="1" t="s">
        <v>38</v>
      </c>
      <c r="D16" s="1">
        <v>112.3</v>
      </c>
      <c r="E16" s="1">
        <v>111.3</v>
      </c>
      <c r="F16" s="1">
        <v>104.7</v>
      </c>
      <c r="G16" s="1">
        <v>106.8</v>
      </c>
      <c r="H16" s="1">
        <v>103.9</v>
      </c>
      <c r="I16" s="1">
        <v>109.3</v>
      </c>
      <c r="J16" s="1">
        <v>112.9</v>
      </c>
      <c r="K16" s="1">
        <v>105.8</v>
      </c>
      <c r="L16" s="1">
        <v>103.1</v>
      </c>
      <c r="M16" s="1">
        <v>104.3</v>
      </c>
      <c r="N16" s="1">
        <v>108.1</v>
      </c>
      <c r="O16" s="1">
        <v>110.5</v>
      </c>
      <c r="P16" s="1">
        <v>109.2</v>
      </c>
      <c r="Q16" s="1">
        <v>108.6</v>
      </c>
      <c r="R16" s="1">
        <v>108.7</v>
      </c>
      <c r="S16" s="1">
        <v>107.4</v>
      </c>
      <c r="T16" s="1">
        <v>108.5</v>
      </c>
      <c r="U16" s="1">
        <v>100.5</v>
      </c>
      <c r="V16" s="1">
        <v>107.4</v>
      </c>
      <c r="W16" s="1">
        <v>106.9</v>
      </c>
      <c r="X16" s="1">
        <v>105.9</v>
      </c>
      <c r="Y16" s="1">
        <v>104</v>
      </c>
      <c r="Z16" s="1">
        <v>104.8</v>
      </c>
      <c r="AA16" s="1">
        <v>105.6</v>
      </c>
      <c r="AB16" s="1">
        <v>102.3</v>
      </c>
      <c r="AC16" s="1">
        <v>104.8</v>
      </c>
      <c r="AD16" s="1">
        <v>106.9</v>
      </c>
    </row>
    <row r="17" spans="1:30" ht="15.75" customHeight="1" x14ac:dyDescent="0.25">
      <c r="A17" s="1" t="s">
        <v>30</v>
      </c>
      <c r="B17" s="1">
        <v>2013</v>
      </c>
      <c r="C17" s="1" t="s">
        <v>39</v>
      </c>
      <c r="D17" s="1">
        <v>112.3</v>
      </c>
      <c r="E17" s="1">
        <v>112.1</v>
      </c>
      <c r="F17" s="1">
        <v>108.1</v>
      </c>
      <c r="G17" s="1">
        <v>108.3</v>
      </c>
      <c r="H17" s="1">
        <v>105.9</v>
      </c>
      <c r="I17" s="1">
        <v>109.2</v>
      </c>
      <c r="J17" s="1">
        <v>118</v>
      </c>
      <c r="K17" s="1">
        <v>106.8</v>
      </c>
      <c r="L17" s="1">
        <v>104.1</v>
      </c>
      <c r="M17" s="1">
        <v>105.4</v>
      </c>
      <c r="N17" s="1">
        <v>108.2</v>
      </c>
      <c r="O17" s="1">
        <v>111</v>
      </c>
      <c r="P17" s="1">
        <v>110.6</v>
      </c>
      <c r="Q17" s="1">
        <v>109</v>
      </c>
      <c r="R17" s="1">
        <v>109.7</v>
      </c>
      <c r="S17" s="1">
        <v>108.8</v>
      </c>
      <c r="T17" s="1">
        <v>109.5</v>
      </c>
      <c r="U17" s="1" t="s">
        <v>32</v>
      </c>
      <c r="V17" s="1">
        <v>108.5</v>
      </c>
      <c r="W17" s="1">
        <v>107.5</v>
      </c>
      <c r="X17" s="1">
        <v>106.3</v>
      </c>
      <c r="Y17" s="1">
        <v>105</v>
      </c>
      <c r="Z17" s="1">
        <v>105.6</v>
      </c>
      <c r="AA17" s="1">
        <v>106.5</v>
      </c>
      <c r="AB17" s="1">
        <v>102.5</v>
      </c>
      <c r="AC17" s="1">
        <v>105.5</v>
      </c>
      <c r="AD17" s="1">
        <v>108.9</v>
      </c>
    </row>
    <row r="18" spans="1:30" ht="12.5" x14ac:dyDescent="0.25">
      <c r="A18" s="1" t="s">
        <v>33</v>
      </c>
      <c r="B18" s="1">
        <v>2013</v>
      </c>
      <c r="C18" s="1" t="s">
        <v>39</v>
      </c>
      <c r="D18" s="1">
        <v>117</v>
      </c>
      <c r="E18" s="1">
        <v>120.1</v>
      </c>
      <c r="F18" s="1">
        <v>112.5</v>
      </c>
      <c r="G18" s="1">
        <v>107.3</v>
      </c>
      <c r="H18" s="1">
        <v>101.3</v>
      </c>
      <c r="I18" s="1">
        <v>112.4</v>
      </c>
      <c r="J18" s="1">
        <v>143.6</v>
      </c>
      <c r="K18" s="1">
        <v>105.4</v>
      </c>
      <c r="L18" s="1">
        <v>101.4</v>
      </c>
      <c r="M18" s="1">
        <v>106.4</v>
      </c>
      <c r="N18" s="1">
        <v>110</v>
      </c>
      <c r="O18" s="1">
        <v>112.2</v>
      </c>
      <c r="P18" s="1">
        <v>115</v>
      </c>
      <c r="Q18" s="1">
        <v>110.9</v>
      </c>
      <c r="R18" s="1">
        <v>109.2</v>
      </c>
      <c r="S18" s="1">
        <v>107.2</v>
      </c>
      <c r="T18" s="1">
        <v>108.9</v>
      </c>
      <c r="U18" s="1">
        <v>106.6</v>
      </c>
      <c r="V18" s="1">
        <v>108</v>
      </c>
      <c r="W18" s="1">
        <v>107.7</v>
      </c>
      <c r="X18" s="1">
        <v>106.5</v>
      </c>
      <c r="Y18" s="1">
        <v>105.2</v>
      </c>
      <c r="Z18" s="1">
        <v>105.2</v>
      </c>
      <c r="AA18" s="1">
        <v>108.1</v>
      </c>
      <c r="AB18" s="1">
        <v>103.3</v>
      </c>
      <c r="AC18" s="1">
        <v>106.1</v>
      </c>
      <c r="AD18" s="1">
        <v>109.7</v>
      </c>
    </row>
    <row r="19" spans="1:30" ht="12.5" x14ac:dyDescent="0.25">
      <c r="A19" s="1" t="s">
        <v>34</v>
      </c>
      <c r="B19" s="1">
        <v>2013</v>
      </c>
      <c r="C19" s="1" t="s">
        <v>39</v>
      </c>
      <c r="D19" s="1">
        <v>113.8</v>
      </c>
      <c r="E19" s="1">
        <v>114.9</v>
      </c>
      <c r="F19" s="1">
        <v>109.8</v>
      </c>
      <c r="G19" s="1">
        <v>107.9</v>
      </c>
      <c r="H19" s="1">
        <v>104.2</v>
      </c>
      <c r="I19" s="1">
        <v>110.7</v>
      </c>
      <c r="J19" s="1">
        <v>126.7</v>
      </c>
      <c r="K19" s="1">
        <v>106.3</v>
      </c>
      <c r="L19" s="1">
        <v>103.2</v>
      </c>
      <c r="M19" s="1">
        <v>105.7</v>
      </c>
      <c r="N19" s="1">
        <v>109</v>
      </c>
      <c r="O19" s="1">
        <v>111.6</v>
      </c>
      <c r="P19" s="1">
        <v>112.2</v>
      </c>
      <c r="Q19" s="1">
        <v>109.5</v>
      </c>
      <c r="R19" s="1">
        <v>109.5</v>
      </c>
      <c r="S19" s="1">
        <v>108.1</v>
      </c>
      <c r="T19" s="1">
        <v>109.3</v>
      </c>
      <c r="U19" s="1">
        <v>106.6</v>
      </c>
      <c r="V19" s="1">
        <v>108.3</v>
      </c>
      <c r="W19" s="1">
        <v>107.6</v>
      </c>
      <c r="X19" s="1">
        <v>106.4</v>
      </c>
      <c r="Y19" s="1">
        <v>105.1</v>
      </c>
      <c r="Z19" s="1">
        <v>105.4</v>
      </c>
      <c r="AA19" s="1">
        <v>107.4</v>
      </c>
      <c r="AB19" s="1">
        <v>102.8</v>
      </c>
      <c r="AC19" s="1">
        <v>105.8</v>
      </c>
      <c r="AD19" s="1">
        <v>109.3</v>
      </c>
    </row>
    <row r="20" spans="1:30" ht="12.5" x14ac:dyDescent="0.25">
      <c r="A20" s="1" t="s">
        <v>30</v>
      </c>
      <c r="B20" s="1">
        <v>2013</v>
      </c>
      <c r="C20" s="1" t="s">
        <v>40</v>
      </c>
      <c r="D20" s="1">
        <v>113.4</v>
      </c>
      <c r="E20" s="1">
        <v>114.9</v>
      </c>
      <c r="F20" s="1">
        <v>110.5</v>
      </c>
      <c r="G20" s="1">
        <v>109.3</v>
      </c>
      <c r="H20" s="1">
        <v>106.2</v>
      </c>
      <c r="I20" s="1">
        <v>110.3</v>
      </c>
      <c r="J20" s="1">
        <v>129.19999999999999</v>
      </c>
      <c r="K20" s="1">
        <v>107.1</v>
      </c>
      <c r="L20" s="1">
        <v>104.3</v>
      </c>
      <c r="M20" s="1">
        <v>106.4</v>
      </c>
      <c r="N20" s="1">
        <v>109.1</v>
      </c>
      <c r="O20" s="1">
        <v>112.1</v>
      </c>
      <c r="P20" s="1">
        <v>113.1</v>
      </c>
      <c r="Q20" s="1">
        <v>109.8</v>
      </c>
      <c r="R20" s="1">
        <v>110.5</v>
      </c>
      <c r="S20" s="1">
        <v>109.5</v>
      </c>
      <c r="T20" s="1">
        <v>110.3</v>
      </c>
      <c r="U20" s="1" t="s">
        <v>32</v>
      </c>
      <c r="V20" s="1">
        <v>109.5</v>
      </c>
      <c r="W20" s="1">
        <v>108.3</v>
      </c>
      <c r="X20" s="1">
        <v>106.9</v>
      </c>
      <c r="Y20" s="1">
        <v>106.8</v>
      </c>
      <c r="Z20" s="1">
        <v>106.4</v>
      </c>
      <c r="AA20" s="1">
        <v>107.8</v>
      </c>
      <c r="AB20" s="1">
        <v>102.5</v>
      </c>
      <c r="AC20" s="1">
        <v>106.5</v>
      </c>
      <c r="AD20" s="1">
        <v>110.7</v>
      </c>
    </row>
    <row r="21" spans="1:30" ht="12.5" x14ac:dyDescent="0.25">
      <c r="A21" s="1" t="s">
        <v>33</v>
      </c>
      <c r="B21" s="1">
        <v>2013</v>
      </c>
      <c r="C21" s="1" t="s">
        <v>40</v>
      </c>
      <c r="D21" s="1">
        <v>117.8</v>
      </c>
      <c r="E21" s="1">
        <v>119.2</v>
      </c>
      <c r="F21" s="1">
        <v>114</v>
      </c>
      <c r="G21" s="1">
        <v>108.3</v>
      </c>
      <c r="H21" s="1">
        <v>101.1</v>
      </c>
      <c r="I21" s="1">
        <v>113.2</v>
      </c>
      <c r="J21" s="1">
        <v>160.9</v>
      </c>
      <c r="K21" s="1">
        <v>105.1</v>
      </c>
      <c r="L21" s="1">
        <v>101.3</v>
      </c>
      <c r="M21" s="1">
        <v>107.5</v>
      </c>
      <c r="N21" s="1">
        <v>110.4</v>
      </c>
      <c r="O21" s="1">
        <v>113.1</v>
      </c>
      <c r="P21" s="1">
        <v>117.5</v>
      </c>
      <c r="Q21" s="1">
        <v>111.7</v>
      </c>
      <c r="R21" s="1">
        <v>109.8</v>
      </c>
      <c r="S21" s="1">
        <v>107.8</v>
      </c>
      <c r="T21" s="1">
        <v>109.5</v>
      </c>
      <c r="U21" s="1">
        <v>107.7</v>
      </c>
      <c r="V21" s="1">
        <v>108.6</v>
      </c>
      <c r="W21" s="1">
        <v>108.1</v>
      </c>
      <c r="X21" s="1">
        <v>107.1</v>
      </c>
      <c r="Y21" s="1">
        <v>107.3</v>
      </c>
      <c r="Z21" s="1">
        <v>105.9</v>
      </c>
      <c r="AA21" s="1">
        <v>110.1</v>
      </c>
      <c r="AB21" s="1">
        <v>103.2</v>
      </c>
      <c r="AC21" s="1">
        <v>107.3</v>
      </c>
      <c r="AD21" s="1">
        <v>111.4</v>
      </c>
    </row>
    <row r="22" spans="1:30" ht="12.5" x14ac:dyDescent="0.25">
      <c r="A22" s="1" t="s">
        <v>34</v>
      </c>
      <c r="B22" s="1">
        <v>2013</v>
      </c>
      <c r="C22" s="1" t="s">
        <v>40</v>
      </c>
      <c r="D22" s="1">
        <v>114.8</v>
      </c>
      <c r="E22" s="1">
        <v>116.4</v>
      </c>
      <c r="F22" s="1">
        <v>111.9</v>
      </c>
      <c r="G22" s="1">
        <v>108.9</v>
      </c>
      <c r="H22" s="1">
        <v>104.3</v>
      </c>
      <c r="I22" s="1">
        <v>111.7</v>
      </c>
      <c r="J22" s="1">
        <v>140</v>
      </c>
      <c r="K22" s="1">
        <v>106.4</v>
      </c>
      <c r="L22" s="1">
        <v>103.3</v>
      </c>
      <c r="M22" s="1">
        <v>106.8</v>
      </c>
      <c r="N22" s="1">
        <v>109.6</v>
      </c>
      <c r="O22" s="1">
        <v>112.6</v>
      </c>
      <c r="P22" s="1">
        <v>114.7</v>
      </c>
      <c r="Q22" s="1">
        <v>110.3</v>
      </c>
      <c r="R22" s="1">
        <v>110.2</v>
      </c>
      <c r="S22" s="1">
        <v>108.8</v>
      </c>
      <c r="T22" s="1">
        <v>110</v>
      </c>
      <c r="U22" s="1">
        <v>107.7</v>
      </c>
      <c r="V22" s="1">
        <v>109.2</v>
      </c>
      <c r="W22" s="1">
        <v>108.2</v>
      </c>
      <c r="X22" s="1">
        <v>107</v>
      </c>
      <c r="Y22" s="1">
        <v>107.1</v>
      </c>
      <c r="Z22" s="1">
        <v>106.1</v>
      </c>
      <c r="AA22" s="1">
        <v>109.1</v>
      </c>
      <c r="AB22" s="1">
        <v>102.8</v>
      </c>
      <c r="AC22" s="1">
        <v>106.9</v>
      </c>
      <c r="AD22" s="1">
        <v>111</v>
      </c>
    </row>
    <row r="23" spans="1:30" ht="12.5" x14ac:dyDescent="0.25">
      <c r="A23" s="1" t="s">
        <v>30</v>
      </c>
      <c r="B23" s="1">
        <v>2013</v>
      </c>
      <c r="C23" s="1" t="s">
        <v>41</v>
      </c>
      <c r="D23" s="1">
        <v>114.3</v>
      </c>
      <c r="E23" s="1">
        <v>115.4</v>
      </c>
      <c r="F23" s="1">
        <v>111.1</v>
      </c>
      <c r="G23" s="1">
        <v>110</v>
      </c>
      <c r="H23" s="1">
        <v>106.4</v>
      </c>
      <c r="I23" s="1">
        <v>110.8</v>
      </c>
      <c r="J23" s="1">
        <v>138.9</v>
      </c>
      <c r="K23" s="1">
        <v>107.4</v>
      </c>
      <c r="L23" s="1">
        <v>104.1</v>
      </c>
      <c r="M23" s="1">
        <v>106.9</v>
      </c>
      <c r="N23" s="1">
        <v>109.7</v>
      </c>
      <c r="O23" s="1">
        <v>112.6</v>
      </c>
      <c r="P23" s="1">
        <v>114.9</v>
      </c>
      <c r="Q23" s="1">
        <v>110.7</v>
      </c>
      <c r="R23" s="1">
        <v>111.3</v>
      </c>
      <c r="S23" s="1">
        <v>110.2</v>
      </c>
      <c r="T23" s="1">
        <v>111.1</v>
      </c>
      <c r="U23" s="1" t="s">
        <v>32</v>
      </c>
      <c r="V23" s="1">
        <v>109.9</v>
      </c>
      <c r="W23" s="1">
        <v>108.7</v>
      </c>
      <c r="X23" s="1">
        <v>107.5</v>
      </c>
      <c r="Y23" s="1">
        <v>107.8</v>
      </c>
      <c r="Z23" s="1">
        <v>106.8</v>
      </c>
      <c r="AA23" s="1">
        <v>108.7</v>
      </c>
      <c r="AB23" s="1">
        <v>105</v>
      </c>
      <c r="AC23" s="1">
        <v>107.5</v>
      </c>
      <c r="AD23" s="1">
        <v>112.1</v>
      </c>
    </row>
    <row r="24" spans="1:30" ht="12.5" x14ac:dyDescent="0.25">
      <c r="A24" s="1" t="s">
        <v>33</v>
      </c>
      <c r="B24" s="1">
        <v>2013</v>
      </c>
      <c r="C24" s="1" t="s">
        <v>41</v>
      </c>
      <c r="D24" s="1">
        <v>118.3</v>
      </c>
      <c r="E24" s="1">
        <v>120.4</v>
      </c>
      <c r="F24" s="1">
        <v>112.7</v>
      </c>
      <c r="G24" s="1">
        <v>108.9</v>
      </c>
      <c r="H24" s="1">
        <v>101.1</v>
      </c>
      <c r="I24" s="1">
        <v>108.7</v>
      </c>
      <c r="J24" s="1">
        <v>177</v>
      </c>
      <c r="K24" s="1">
        <v>104.7</v>
      </c>
      <c r="L24" s="1">
        <v>101</v>
      </c>
      <c r="M24" s="1">
        <v>108.5</v>
      </c>
      <c r="N24" s="1">
        <v>110.9</v>
      </c>
      <c r="O24" s="1">
        <v>114.3</v>
      </c>
      <c r="P24" s="1">
        <v>119.6</v>
      </c>
      <c r="Q24" s="1">
        <v>112.4</v>
      </c>
      <c r="R24" s="1">
        <v>110.6</v>
      </c>
      <c r="S24" s="1">
        <v>108.3</v>
      </c>
      <c r="T24" s="1">
        <v>110.2</v>
      </c>
      <c r="U24" s="1">
        <v>108.9</v>
      </c>
      <c r="V24" s="1">
        <v>109.3</v>
      </c>
      <c r="W24" s="1">
        <v>108.7</v>
      </c>
      <c r="X24" s="1">
        <v>107.6</v>
      </c>
      <c r="Y24" s="1">
        <v>108.1</v>
      </c>
      <c r="Z24" s="1">
        <v>106.5</v>
      </c>
      <c r="AA24" s="1">
        <v>110.8</v>
      </c>
      <c r="AB24" s="1">
        <v>106</v>
      </c>
      <c r="AC24" s="1">
        <v>108.3</v>
      </c>
      <c r="AD24" s="1">
        <v>112.7</v>
      </c>
    </row>
    <row r="25" spans="1:30" ht="12.5" x14ac:dyDescent="0.25">
      <c r="A25" s="1" t="s">
        <v>34</v>
      </c>
      <c r="B25" s="1">
        <v>2013</v>
      </c>
      <c r="C25" s="1" t="s">
        <v>41</v>
      </c>
      <c r="D25" s="1">
        <v>115.6</v>
      </c>
      <c r="E25" s="1">
        <v>117.2</v>
      </c>
      <c r="F25" s="1">
        <v>111.7</v>
      </c>
      <c r="G25" s="1">
        <v>109.6</v>
      </c>
      <c r="H25" s="1">
        <v>104.5</v>
      </c>
      <c r="I25" s="1">
        <v>109.8</v>
      </c>
      <c r="J25" s="1">
        <v>151.80000000000001</v>
      </c>
      <c r="K25" s="1">
        <v>106.5</v>
      </c>
      <c r="L25" s="1">
        <v>103.1</v>
      </c>
      <c r="M25" s="1">
        <v>107.4</v>
      </c>
      <c r="N25" s="1">
        <v>110.2</v>
      </c>
      <c r="O25" s="1">
        <v>113.4</v>
      </c>
      <c r="P25" s="1">
        <v>116.6</v>
      </c>
      <c r="Q25" s="1">
        <v>111.2</v>
      </c>
      <c r="R25" s="1">
        <v>111</v>
      </c>
      <c r="S25" s="1">
        <v>109.4</v>
      </c>
      <c r="T25" s="1">
        <v>110.7</v>
      </c>
      <c r="U25" s="1">
        <v>108.9</v>
      </c>
      <c r="V25" s="1">
        <v>109.7</v>
      </c>
      <c r="W25" s="1">
        <v>108.7</v>
      </c>
      <c r="X25" s="1">
        <v>107.5</v>
      </c>
      <c r="Y25" s="1">
        <v>108</v>
      </c>
      <c r="Z25" s="1">
        <v>106.6</v>
      </c>
      <c r="AA25" s="1">
        <v>109.9</v>
      </c>
      <c r="AB25" s="1">
        <v>105.4</v>
      </c>
      <c r="AC25" s="1">
        <v>107.9</v>
      </c>
      <c r="AD25" s="1">
        <v>112.4</v>
      </c>
    </row>
    <row r="26" spans="1:30" ht="12.5" x14ac:dyDescent="0.25">
      <c r="A26" s="1" t="s">
        <v>30</v>
      </c>
      <c r="B26" s="1">
        <v>2013</v>
      </c>
      <c r="C26" s="1" t="s">
        <v>42</v>
      </c>
      <c r="D26" s="1">
        <v>115.4</v>
      </c>
      <c r="E26" s="1">
        <v>115.7</v>
      </c>
      <c r="F26" s="1">
        <v>111.7</v>
      </c>
      <c r="G26" s="1">
        <v>111</v>
      </c>
      <c r="H26" s="1">
        <v>107.4</v>
      </c>
      <c r="I26" s="1">
        <v>110.9</v>
      </c>
      <c r="J26" s="1">
        <v>154</v>
      </c>
      <c r="K26" s="1">
        <v>108.1</v>
      </c>
      <c r="L26" s="1">
        <v>104.2</v>
      </c>
      <c r="M26" s="1">
        <v>107.9</v>
      </c>
      <c r="N26" s="1">
        <v>110.4</v>
      </c>
      <c r="O26" s="1">
        <v>114</v>
      </c>
      <c r="P26" s="1">
        <v>117.8</v>
      </c>
      <c r="Q26" s="1">
        <v>111.7</v>
      </c>
      <c r="R26" s="1">
        <v>112.7</v>
      </c>
      <c r="S26" s="1">
        <v>111.4</v>
      </c>
      <c r="T26" s="1">
        <v>112.5</v>
      </c>
      <c r="U26" s="1" t="s">
        <v>32</v>
      </c>
      <c r="V26" s="1">
        <v>111.1</v>
      </c>
      <c r="W26" s="1">
        <v>109.6</v>
      </c>
      <c r="X26" s="1">
        <v>108.3</v>
      </c>
      <c r="Y26" s="1">
        <v>109.3</v>
      </c>
      <c r="Z26" s="1">
        <v>107.7</v>
      </c>
      <c r="AA26" s="1">
        <v>109.8</v>
      </c>
      <c r="AB26" s="1">
        <v>106.7</v>
      </c>
      <c r="AC26" s="1">
        <v>108.7</v>
      </c>
      <c r="AD26" s="1">
        <v>114.2</v>
      </c>
    </row>
    <row r="27" spans="1:30" ht="12.5" x14ac:dyDescent="0.25">
      <c r="A27" s="1" t="s">
        <v>33</v>
      </c>
      <c r="B27" s="1">
        <v>2013</v>
      </c>
      <c r="C27" s="1" t="s">
        <v>42</v>
      </c>
      <c r="D27" s="1">
        <v>118.6</v>
      </c>
      <c r="E27" s="1">
        <v>119.1</v>
      </c>
      <c r="F27" s="1">
        <v>113.2</v>
      </c>
      <c r="G27" s="1">
        <v>109.6</v>
      </c>
      <c r="H27" s="1">
        <v>101.7</v>
      </c>
      <c r="I27" s="1">
        <v>103.2</v>
      </c>
      <c r="J27" s="1">
        <v>174.3</v>
      </c>
      <c r="K27" s="1">
        <v>105.1</v>
      </c>
      <c r="L27" s="1">
        <v>100.8</v>
      </c>
      <c r="M27" s="1">
        <v>109.1</v>
      </c>
      <c r="N27" s="1">
        <v>111.1</v>
      </c>
      <c r="O27" s="1">
        <v>115.4</v>
      </c>
      <c r="P27" s="1">
        <v>119.2</v>
      </c>
      <c r="Q27" s="1">
        <v>112.9</v>
      </c>
      <c r="R27" s="1">
        <v>111.4</v>
      </c>
      <c r="S27" s="1">
        <v>109</v>
      </c>
      <c r="T27" s="1">
        <v>111.1</v>
      </c>
      <c r="U27" s="1">
        <v>109.7</v>
      </c>
      <c r="V27" s="1">
        <v>109.5</v>
      </c>
      <c r="W27" s="1">
        <v>109.6</v>
      </c>
      <c r="X27" s="1">
        <v>107.9</v>
      </c>
      <c r="Y27" s="1">
        <v>110.4</v>
      </c>
      <c r="Z27" s="1">
        <v>107.4</v>
      </c>
      <c r="AA27" s="1">
        <v>111.2</v>
      </c>
      <c r="AB27" s="1">
        <v>106.9</v>
      </c>
      <c r="AC27" s="1">
        <v>109.4</v>
      </c>
      <c r="AD27" s="1">
        <v>113.2</v>
      </c>
    </row>
    <row r="28" spans="1:30" ht="12.5" x14ac:dyDescent="0.25">
      <c r="A28" s="1" t="s">
        <v>34</v>
      </c>
      <c r="B28" s="1">
        <v>2013</v>
      </c>
      <c r="C28" s="1" t="s">
        <v>42</v>
      </c>
      <c r="D28" s="1">
        <v>116.4</v>
      </c>
      <c r="E28" s="1">
        <v>116.9</v>
      </c>
      <c r="F28" s="1">
        <v>112.3</v>
      </c>
      <c r="G28" s="1">
        <v>110.5</v>
      </c>
      <c r="H28" s="1">
        <v>105.3</v>
      </c>
      <c r="I28" s="1">
        <v>107.3</v>
      </c>
      <c r="J28" s="1">
        <v>160.9</v>
      </c>
      <c r="K28" s="1">
        <v>107.1</v>
      </c>
      <c r="L28" s="1">
        <v>103.1</v>
      </c>
      <c r="M28" s="1">
        <v>108.3</v>
      </c>
      <c r="N28" s="1">
        <v>110.7</v>
      </c>
      <c r="O28" s="1">
        <v>114.6</v>
      </c>
      <c r="P28" s="1">
        <v>118.3</v>
      </c>
      <c r="Q28" s="1">
        <v>112</v>
      </c>
      <c r="R28" s="1">
        <v>112.2</v>
      </c>
      <c r="S28" s="1">
        <v>110.4</v>
      </c>
      <c r="T28" s="1">
        <v>111.9</v>
      </c>
      <c r="U28" s="1">
        <v>109.7</v>
      </c>
      <c r="V28" s="1">
        <v>110.5</v>
      </c>
      <c r="W28" s="1">
        <v>109.6</v>
      </c>
      <c r="X28" s="1">
        <v>108.1</v>
      </c>
      <c r="Y28" s="1">
        <v>109.9</v>
      </c>
      <c r="Z28" s="1">
        <v>107.5</v>
      </c>
      <c r="AA28" s="1">
        <v>110.6</v>
      </c>
      <c r="AB28" s="1">
        <v>106.8</v>
      </c>
      <c r="AC28" s="1">
        <v>109</v>
      </c>
      <c r="AD28" s="1">
        <v>113.7</v>
      </c>
    </row>
    <row r="29" spans="1:30" ht="12.5" x14ac:dyDescent="0.25">
      <c r="A29" s="1" t="s">
        <v>30</v>
      </c>
      <c r="B29" s="1">
        <v>2013</v>
      </c>
      <c r="C29" s="1" t="s">
        <v>43</v>
      </c>
      <c r="D29" s="1">
        <v>116.3</v>
      </c>
      <c r="E29" s="1">
        <v>115.4</v>
      </c>
      <c r="F29" s="1">
        <v>112.6</v>
      </c>
      <c r="G29" s="1">
        <v>111.7</v>
      </c>
      <c r="H29" s="1">
        <v>107.7</v>
      </c>
      <c r="I29" s="1">
        <v>113.2</v>
      </c>
      <c r="J29" s="1">
        <v>164.9</v>
      </c>
      <c r="K29" s="1">
        <v>108.3</v>
      </c>
      <c r="L29" s="1">
        <v>103.9</v>
      </c>
      <c r="M29" s="1">
        <v>108.2</v>
      </c>
      <c r="N29" s="1">
        <v>111.1</v>
      </c>
      <c r="O29" s="1">
        <v>114.9</v>
      </c>
      <c r="P29" s="1">
        <v>119.8</v>
      </c>
      <c r="Q29" s="1">
        <v>112.2</v>
      </c>
      <c r="R29" s="1">
        <v>113.6</v>
      </c>
      <c r="S29" s="1">
        <v>112.3</v>
      </c>
      <c r="T29" s="1">
        <v>113.4</v>
      </c>
      <c r="U29" s="1" t="s">
        <v>32</v>
      </c>
      <c r="V29" s="1">
        <v>111.6</v>
      </c>
      <c r="W29" s="1">
        <v>110.4</v>
      </c>
      <c r="X29" s="1">
        <v>108.9</v>
      </c>
      <c r="Y29" s="1">
        <v>109.3</v>
      </c>
      <c r="Z29" s="1">
        <v>108.3</v>
      </c>
      <c r="AA29" s="1">
        <v>110.2</v>
      </c>
      <c r="AB29" s="1">
        <v>107.5</v>
      </c>
      <c r="AC29" s="1">
        <v>109.1</v>
      </c>
      <c r="AD29" s="1">
        <v>115.5</v>
      </c>
    </row>
    <row r="30" spans="1:30" ht="12.5" x14ac:dyDescent="0.25">
      <c r="A30" s="1" t="s">
        <v>33</v>
      </c>
      <c r="B30" s="1">
        <v>2013</v>
      </c>
      <c r="C30" s="1" t="s">
        <v>43</v>
      </c>
      <c r="D30" s="1">
        <v>118.9</v>
      </c>
      <c r="E30" s="1">
        <v>118.1</v>
      </c>
      <c r="F30" s="1">
        <v>114.5</v>
      </c>
      <c r="G30" s="1">
        <v>110.4</v>
      </c>
      <c r="H30" s="1">
        <v>102.3</v>
      </c>
      <c r="I30" s="1">
        <v>106.2</v>
      </c>
      <c r="J30" s="1">
        <v>183.5</v>
      </c>
      <c r="K30" s="1">
        <v>105.3</v>
      </c>
      <c r="L30" s="1">
        <v>100.2</v>
      </c>
      <c r="M30" s="1">
        <v>109.6</v>
      </c>
      <c r="N30" s="1">
        <v>111.4</v>
      </c>
      <c r="O30" s="1">
        <v>116</v>
      </c>
      <c r="P30" s="1">
        <v>120.8</v>
      </c>
      <c r="Q30" s="1">
        <v>113.5</v>
      </c>
      <c r="R30" s="1">
        <v>112.5</v>
      </c>
      <c r="S30" s="1">
        <v>109.7</v>
      </c>
      <c r="T30" s="1">
        <v>112</v>
      </c>
      <c r="U30" s="1">
        <v>110.5</v>
      </c>
      <c r="V30" s="1">
        <v>109.7</v>
      </c>
      <c r="W30" s="1">
        <v>110.2</v>
      </c>
      <c r="X30" s="1">
        <v>108.2</v>
      </c>
      <c r="Y30" s="1">
        <v>109.7</v>
      </c>
      <c r="Z30" s="1">
        <v>108</v>
      </c>
      <c r="AA30" s="1">
        <v>111.3</v>
      </c>
      <c r="AB30" s="1">
        <v>107.3</v>
      </c>
      <c r="AC30" s="1">
        <v>109.4</v>
      </c>
      <c r="AD30" s="1">
        <v>114</v>
      </c>
    </row>
    <row r="31" spans="1:30" ht="12.5" x14ac:dyDescent="0.25">
      <c r="A31" s="1" t="s">
        <v>34</v>
      </c>
      <c r="B31" s="1">
        <v>2013</v>
      </c>
      <c r="C31" s="1" t="s">
        <v>43</v>
      </c>
      <c r="D31" s="1">
        <v>117.1</v>
      </c>
      <c r="E31" s="1">
        <v>116.3</v>
      </c>
      <c r="F31" s="1">
        <v>113.3</v>
      </c>
      <c r="G31" s="1">
        <v>111.2</v>
      </c>
      <c r="H31" s="1">
        <v>105.7</v>
      </c>
      <c r="I31" s="1">
        <v>109.9</v>
      </c>
      <c r="J31" s="1">
        <v>171.2</v>
      </c>
      <c r="K31" s="1">
        <v>107.3</v>
      </c>
      <c r="L31" s="1">
        <v>102.7</v>
      </c>
      <c r="M31" s="1">
        <v>108.7</v>
      </c>
      <c r="N31" s="1">
        <v>111.2</v>
      </c>
      <c r="O31" s="1">
        <v>115.4</v>
      </c>
      <c r="P31" s="1">
        <v>120.2</v>
      </c>
      <c r="Q31" s="1">
        <v>112.5</v>
      </c>
      <c r="R31" s="1">
        <v>113.2</v>
      </c>
      <c r="S31" s="1">
        <v>111.2</v>
      </c>
      <c r="T31" s="1">
        <v>112.8</v>
      </c>
      <c r="U31" s="1">
        <v>110.5</v>
      </c>
      <c r="V31" s="1">
        <v>110.9</v>
      </c>
      <c r="W31" s="1">
        <v>110.3</v>
      </c>
      <c r="X31" s="1">
        <v>108.6</v>
      </c>
      <c r="Y31" s="1">
        <v>109.5</v>
      </c>
      <c r="Z31" s="1">
        <v>108.1</v>
      </c>
      <c r="AA31" s="1">
        <v>110.8</v>
      </c>
      <c r="AB31" s="1">
        <v>107.4</v>
      </c>
      <c r="AC31" s="1">
        <v>109.2</v>
      </c>
      <c r="AD31" s="1">
        <v>114.8</v>
      </c>
    </row>
    <row r="32" spans="1:30" ht="12.5" x14ac:dyDescent="0.25">
      <c r="A32" s="1" t="s">
        <v>30</v>
      </c>
      <c r="B32" s="1">
        <v>2013</v>
      </c>
      <c r="C32" s="1" t="s">
        <v>44</v>
      </c>
      <c r="D32" s="1">
        <v>117.3</v>
      </c>
      <c r="E32" s="1">
        <v>114.9</v>
      </c>
      <c r="F32" s="1">
        <v>116.2</v>
      </c>
      <c r="G32" s="1">
        <v>112.8</v>
      </c>
      <c r="H32" s="1">
        <v>108.9</v>
      </c>
      <c r="I32" s="1">
        <v>116.6</v>
      </c>
      <c r="J32" s="1">
        <v>178.1</v>
      </c>
      <c r="K32" s="1">
        <v>109.1</v>
      </c>
      <c r="L32" s="1">
        <v>103.6</v>
      </c>
      <c r="M32" s="1">
        <v>109</v>
      </c>
      <c r="N32" s="1">
        <v>111.8</v>
      </c>
      <c r="O32" s="1">
        <v>116</v>
      </c>
      <c r="P32" s="1">
        <v>122.5</v>
      </c>
      <c r="Q32" s="1">
        <v>112.8</v>
      </c>
      <c r="R32" s="1">
        <v>114.6</v>
      </c>
      <c r="S32" s="1">
        <v>113.1</v>
      </c>
      <c r="T32" s="1">
        <v>114.4</v>
      </c>
      <c r="U32" s="1" t="s">
        <v>32</v>
      </c>
      <c r="V32" s="1">
        <v>112.6</v>
      </c>
      <c r="W32" s="1">
        <v>111.3</v>
      </c>
      <c r="X32" s="1">
        <v>109.7</v>
      </c>
      <c r="Y32" s="1">
        <v>109.6</v>
      </c>
      <c r="Z32" s="1">
        <v>108.7</v>
      </c>
      <c r="AA32" s="1">
        <v>111</v>
      </c>
      <c r="AB32" s="1">
        <v>108.2</v>
      </c>
      <c r="AC32" s="1">
        <v>109.8</v>
      </c>
      <c r="AD32" s="1">
        <v>117.4</v>
      </c>
    </row>
    <row r="33" spans="1:30" ht="12.5" x14ac:dyDescent="0.25">
      <c r="A33" s="1" t="s">
        <v>33</v>
      </c>
      <c r="B33" s="1">
        <v>2013</v>
      </c>
      <c r="C33" s="1" t="s">
        <v>44</v>
      </c>
      <c r="D33" s="1">
        <v>119.8</v>
      </c>
      <c r="E33" s="1">
        <v>116.3</v>
      </c>
      <c r="F33" s="1">
        <v>122.6</v>
      </c>
      <c r="G33" s="1">
        <v>112</v>
      </c>
      <c r="H33" s="1">
        <v>103.2</v>
      </c>
      <c r="I33" s="1">
        <v>110</v>
      </c>
      <c r="J33" s="1">
        <v>192.8</v>
      </c>
      <c r="K33" s="1">
        <v>106.3</v>
      </c>
      <c r="L33" s="1">
        <v>99.5</v>
      </c>
      <c r="M33" s="1">
        <v>110.3</v>
      </c>
      <c r="N33" s="1">
        <v>111.8</v>
      </c>
      <c r="O33" s="1">
        <v>117.1</v>
      </c>
      <c r="P33" s="1">
        <v>122.9</v>
      </c>
      <c r="Q33" s="1">
        <v>114.1</v>
      </c>
      <c r="R33" s="1">
        <v>113.5</v>
      </c>
      <c r="S33" s="1">
        <v>110.3</v>
      </c>
      <c r="T33" s="1">
        <v>113</v>
      </c>
      <c r="U33" s="1">
        <v>111.1</v>
      </c>
      <c r="V33" s="1">
        <v>110</v>
      </c>
      <c r="W33" s="1">
        <v>110.9</v>
      </c>
      <c r="X33" s="1">
        <v>108.6</v>
      </c>
      <c r="Y33" s="1">
        <v>109.5</v>
      </c>
      <c r="Z33" s="1">
        <v>108.5</v>
      </c>
      <c r="AA33" s="1">
        <v>111.3</v>
      </c>
      <c r="AB33" s="1">
        <v>107.9</v>
      </c>
      <c r="AC33" s="1">
        <v>109.6</v>
      </c>
      <c r="AD33" s="1">
        <v>115</v>
      </c>
    </row>
    <row r="34" spans="1:30" ht="12.5" x14ac:dyDescent="0.25">
      <c r="A34" s="1" t="s">
        <v>34</v>
      </c>
      <c r="B34" s="1">
        <v>2013</v>
      </c>
      <c r="C34" s="1" t="s">
        <v>44</v>
      </c>
      <c r="D34" s="1">
        <v>118.1</v>
      </c>
      <c r="E34" s="1">
        <v>115.4</v>
      </c>
      <c r="F34" s="1">
        <v>118.7</v>
      </c>
      <c r="G34" s="1">
        <v>112.5</v>
      </c>
      <c r="H34" s="1">
        <v>106.8</v>
      </c>
      <c r="I34" s="1">
        <v>113.5</v>
      </c>
      <c r="J34" s="1">
        <v>183.1</v>
      </c>
      <c r="K34" s="1">
        <v>108.2</v>
      </c>
      <c r="L34" s="1">
        <v>102.2</v>
      </c>
      <c r="M34" s="1">
        <v>109.4</v>
      </c>
      <c r="N34" s="1">
        <v>111.8</v>
      </c>
      <c r="O34" s="1">
        <v>116.5</v>
      </c>
      <c r="P34" s="1">
        <v>122.6</v>
      </c>
      <c r="Q34" s="1">
        <v>113.1</v>
      </c>
      <c r="R34" s="1">
        <v>114.2</v>
      </c>
      <c r="S34" s="1">
        <v>111.9</v>
      </c>
      <c r="T34" s="1">
        <v>113.8</v>
      </c>
      <c r="U34" s="1">
        <v>111.1</v>
      </c>
      <c r="V34" s="1">
        <v>111.6</v>
      </c>
      <c r="W34" s="1">
        <v>111.1</v>
      </c>
      <c r="X34" s="1">
        <v>109.3</v>
      </c>
      <c r="Y34" s="1">
        <v>109.5</v>
      </c>
      <c r="Z34" s="1">
        <v>108.6</v>
      </c>
      <c r="AA34" s="1">
        <v>111.2</v>
      </c>
      <c r="AB34" s="1">
        <v>108.1</v>
      </c>
      <c r="AC34" s="1">
        <v>109.7</v>
      </c>
      <c r="AD34" s="1">
        <v>116.3</v>
      </c>
    </row>
    <row r="35" spans="1:30" ht="12.5" x14ac:dyDescent="0.25">
      <c r="A35" s="1" t="s">
        <v>30</v>
      </c>
      <c r="B35" s="1">
        <v>2013</v>
      </c>
      <c r="C35" s="1" t="s">
        <v>45</v>
      </c>
      <c r="D35" s="1">
        <v>118.4</v>
      </c>
      <c r="E35" s="1">
        <v>115.9</v>
      </c>
      <c r="F35" s="1">
        <v>120.4</v>
      </c>
      <c r="G35" s="1">
        <v>113.8</v>
      </c>
      <c r="H35" s="1">
        <v>109.5</v>
      </c>
      <c r="I35" s="1">
        <v>115.5</v>
      </c>
      <c r="J35" s="1">
        <v>145.69999999999999</v>
      </c>
      <c r="K35" s="1">
        <v>109.5</v>
      </c>
      <c r="L35" s="1">
        <v>102.9</v>
      </c>
      <c r="M35" s="1">
        <v>109.8</v>
      </c>
      <c r="N35" s="1">
        <v>112.1</v>
      </c>
      <c r="O35" s="1">
        <v>116.8</v>
      </c>
      <c r="P35" s="1">
        <v>118.7</v>
      </c>
      <c r="Q35" s="1">
        <v>113.6</v>
      </c>
      <c r="R35" s="1">
        <v>115.8</v>
      </c>
      <c r="S35" s="1">
        <v>114</v>
      </c>
      <c r="T35" s="1">
        <v>115.5</v>
      </c>
      <c r="U35" s="1" t="s">
        <v>32</v>
      </c>
      <c r="V35" s="1">
        <v>112.8</v>
      </c>
      <c r="W35" s="1">
        <v>112.1</v>
      </c>
      <c r="X35" s="1">
        <v>110.1</v>
      </c>
      <c r="Y35" s="1">
        <v>109.9</v>
      </c>
      <c r="Z35" s="1">
        <v>109.2</v>
      </c>
      <c r="AA35" s="1">
        <v>111.6</v>
      </c>
      <c r="AB35" s="1">
        <v>108.1</v>
      </c>
      <c r="AC35" s="1">
        <v>110.1</v>
      </c>
      <c r="AD35" s="1">
        <v>115.5</v>
      </c>
    </row>
    <row r="36" spans="1:30" ht="12.5" x14ac:dyDescent="0.25">
      <c r="A36" s="1" t="s">
        <v>33</v>
      </c>
      <c r="B36" s="1">
        <v>2013</v>
      </c>
      <c r="C36" s="1" t="s">
        <v>45</v>
      </c>
      <c r="D36" s="1">
        <v>120.5</v>
      </c>
      <c r="E36" s="1">
        <v>118.1</v>
      </c>
      <c r="F36" s="1">
        <v>128.5</v>
      </c>
      <c r="G36" s="1">
        <v>112.8</v>
      </c>
      <c r="H36" s="1">
        <v>103.4</v>
      </c>
      <c r="I36" s="1">
        <v>110.7</v>
      </c>
      <c r="J36" s="1">
        <v>144.80000000000001</v>
      </c>
      <c r="K36" s="1">
        <v>107.1</v>
      </c>
      <c r="L36" s="1">
        <v>98.6</v>
      </c>
      <c r="M36" s="1">
        <v>111.9</v>
      </c>
      <c r="N36" s="1">
        <v>112.1</v>
      </c>
      <c r="O36" s="1">
        <v>118.1</v>
      </c>
      <c r="P36" s="1">
        <v>117.8</v>
      </c>
      <c r="Q36" s="1">
        <v>115</v>
      </c>
      <c r="R36" s="1">
        <v>114.2</v>
      </c>
      <c r="S36" s="1">
        <v>110.9</v>
      </c>
      <c r="T36" s="1">
        <v>113.7</v>
      </c>
      <c r="U36" s="1">
        <v>110.7</v>
      </c>
      <c r="V36" s="1">
        <v>110.4</v>
      </c>
      <c r="W36" s="1">
        <v>111.3</v>
      </c>
      <c r="X36" s="1">
        <v>109</v>
      </c>
      <c r="Y36" s="1">
        <v>109.7</v>
      </c>
      <c r="Z36" s="1">
        <v>108.9</v>
      </c>
      <c r="AA36" s="1">
        <v>111.4</v>
      </c>
      <c r="AB36" s="1">
        <v>107.7</v>
      </c>
      <c r="AC36" s="1">
        <v>109.8</v>
      </c>
      <c r="AD36" s="1">
        <v>113.3</v>
      </c>
    </row>
    <row r="37" spans="1:30" ht="12.5" x14ac:dyDescent="0.25">
      <c r="A37" s="1" t="s">
        <v>34</v>
      </c>
      <c r="B37" s="1">
        <v>2013</v>
      </c>
      <c r="C37" s="1" t="s">
        <v>45</v>
      </c>
      <c r="D37" s="1">
        <v>119.1</v>
      </c>
      <c r="E37" s="1">
        <v>116.7</v>
      </c>
      <c r="F37" s="1">
        <v>123.5</v>
      </c>
      <c r="G37" s="1">
        <v>113.4</v>
      </c>
      <c r="H37" s="1">
        <v>107.3</v>
      </c>
      <c r="I37" s="1">
        <v>113.3</v>
      </c>
      <c r="J37" s="1">
        <v>145.4</v>
      </c>
      <c r="K37" s="1">
        <v>108.7</v>
      </c>
      <c r="L37" s="1">
        <v>101.5</v>
      </c>
      <c r="M37" s="1">
        <v>110.5</v>
      </c>
      <c r="N37" s="1">
        <v>112.1</v>
      </c>
      <c r="O37" s="1">
        <v>117.4</v>
      </c>
      <c r="P37" s="1">
        <v>118.4</v>
      </c>
      <c r="Q37" s="1">
        <v>114</v>
      </c>
      <c r="R37" s="1">
        <v>115.2</v>
      </c>
      <c r="S37" s="1">
        <v>112.7</v>
      </c>
      <c r="T37" s="1">
        <v>114.8</v>
      </c>
      <c r="U37" s="1">
        <v>110.7</v>
      </c>
      <c r="V37" s="1">
        <v>111.9</v>
      </c>
      <c r="W37" s="1">
        <v>111.7</v>
      </c>
      <c r="X37" s="1">
        <v>109.7</v>
      </c>
      <c r="Y37" s="1">
        <v>109.8</v>
      </c>
      <c r="Z37" s="1">
        <v>109</v>
      </c>
      <c r="AA37" s="1">
        <v>111.5</v>
      </c>
      <c r="AB37" s="1">
        <v>107.9</v>
      </c>
      <c r="AC37" s="1">
        <v>110</v>
      </c>
      <c r="AD37" s="1">
        <v>114.5</v>
      </c>
    </row>
    <row r="38" spans="1:30" ht="12.5" x14ac:dyDescent="0.25">
      <c r="A38" s="1" t="s">
        <v>30</v>
      </c>
      <c r="B38" s="1">
        <v>2014</v>
      </c>
      <c r="C38" s="1" t="s">
        <v>31</v>
      </c>
      <c r="D38" s="1">
        <v>118.9</v>
      </c>
      <c r="E38" s="1">
        <v>117.1</v>
      </c>
      <c r="F38" s="1">
        <v>120.5</v>
      </c>
      <c r="G38" s="1">
        <v>114.4</v>
      </c>
      <c r="H38" s="1">
        <v>109</v>
      </c>
      <c r="I38" s="1">
        <v>115.5</v>
      </c>
      <c r="J38" s="1">
        <v>123.9</v>
      </c>
      <c r="K38" s="1">
        <v>109.6</v>
      </c>
      <c r="L38" s="1">
        <v>101.8</v>
      </c>
      <c r="M38" s="1">
        <v>110.2</v>
      </c>
      <c r="N38" s="1">
        <v>112.4</v>
      </c>
      <c r="O38" s="1">
        <v>117.3</v>
      </c>
      <c r="P38" s="1">
        <v>116</v>
      </c>
      <c r="Q38" s="1">
        <v>114</v>
      </c>
      <c r="R38" s="1">
        <v>116.5</v>
      </c>
      <c r="S38" s="1">
        <v>114.5</v>
      </c>
      <c r="T38" s="1">
        <v>116.2</v>
      </c>
      <c r="U38" s="1" t="s">
        <v>32</v>
      </c>
      <c r="V38" s="1">
        <v>113</v>
      </c>
      <c r="W38" s="1">
        <v>112.6</v>
      </c>
      <c r="X38" s="1">
        <v>110.6</v>
      </c>
      <c r="Y38" s="1">
        <v>110.5</v>
      </c>
      <c r="Z38" s="1">
        <v>109.6</v>
      </c>
      <c r="AA38" s="1">
        <v>111.8</v>
      </c>
      <c r="AB38" s="1">
        <v>108.3</v>
      </c>
      <c r="AC38" s="1">
        <v>110.6</v>
      </c>
      <c r="AD38" s="1">
        <v>114.2</v>
      </c>
    </row>
    <row r="39" spans="1:30" ht="12.5" x14ac:dyDescent="0.25">
      <c r="A39" s="1" t="s">
        <v>33</v>
      </c>
      <c r="B39" s="1">
        <v>2014</v>
      </c>
      <c r="C39" s="1" t="s">
        <v>31</v>
      </c>
      <c r="D39" s="1">
        <v>121.2</v>
      </c>
      <c r="E39" s="1">
        <v>122</v>
      </c>
      <c r="F39" s="1">
        <v>129.9</v>
      </c>
      <c r="G39" s="1">
        <v>113.6</v>
      </c>
      <c r="H39" s="1">
        <v>102.9</v>
      </c>
      <c r="I39" s="1">
        <v>112.1</v>
      </c>
      <c r="J39" s="1">
        <v>118.9</v>
      </c>
      <c r="K39" s="1">
        <v>107.5</v>
      </c>
      <c r="L39" s="1">
        <v>96.9</v>
      </c>
      <c r="M39" s="1">
        <v>112.7</v>
      </c>
      <c r="N39" s="1">
        <v>112.1</v>
      </c>
      <c r="O39" s="1">
        <v>119</v>
      </c>
      <c r="P39" s="1">
        <v>115.5</v>
      </c>
      <c r="Q39" s="1">
        <v>115.7</v>
      </c>
      <c r="R39" s="1">
        <v>114.8</v>
      </c>
      <c r="S39" s="1">
        <v>111.3</v>
      </c>
      <c r="T39" s="1">
        <v>114.3</v>
      </c>
      <c r="U39" s="1">
        <v>111.6</v>
      </c>
      <c r="V39" s="1">
        <v>111</v>
      </c>
      <c r="W39" s="1">
        <v>111.9</v>
      </c>
      <c r="X39" s="1">
        <v>109.7</v>
      </c>
      <c r="Y39" s="1">
        <v>110.8</v>
      </c>
      <c r="Z39" s="1">
        <v>109.8</v>
      </c>
      <c r="AA39" s="1">
        <v>111.5</v>
      </c>
      <c r="AB39" s="1">
        <v>108</v>
      </c>
      <c r="AC39" s="1">
        <v>110.5</v>
      </c>
      <c r="AD39" s="1">
        <v>112.9</v>
      </c>
    </row>
    <row r="40" spans="1:30" ht="12.5" x14ac:dyDescent="0.25">
      <c r="A40" s="1" t="s">
        <v>34</v>
      </c>
      <c r="B40" s="1">
        <v>2014</v>
      </c>
      <c r="C40" s="1" t="s">
        <v>31</v>
      </c>
      <c r="D40" s="1">
        <v>119.6</v>
      </c>
      <c r="E40" s="1">
        <v>118.8</v>
      </c>
      <c r="F40" s="1">
        <v>124.1</v>
      </c>
      <c r="G40" s="1">
        <v>114.1</v>
      </c>
      <c r="H40" s="1">
        <v>106.8</v>
      </c>
      <c r="I40" s="1">
        <v>113.9</v>
      </c>
      <c r="J40" s="1">
        <v>122.2</v>
      </c>
      <c r="K40" s="1">
        <v>108.9</v>
      </c>
      <c r="L40" s="1">
        <v>100.2</v>
      </c>
      <c r="M40" s="1">
        <v>111</v>
      </c>
      <c r="N40" s="1">
        <v>112.3</v>
      </c>
      <c r="O40" s="1">
        <v>118.1</v>
      </c>
      <c r="P40" s="1">
        <v>115.8</v>
      </c>
      <c r="Q40" s="1">
        <v>114.5</v>
      </c>
      <c r="R40" s="1">
        <v>115.8</v>
      </c>
      <c r="S40" s="1">
        <v>113.2</v>
      </c>
      <c r="T40" s="1">
        <v>115.4</v>
      </c>
      <c r="U40" s="1">
        <v>111.6</v>
      </c>
      <c r="V40" s="1">
        <v>112.2</v>
      </c>
      <c r="W40" s="1">
        <v>112.3</v>
      </c>
      <c r="X40" s="1">
        <v>110.3</v>
      </c>
      <c r="Y40" s="1">
        <v>110.7</v>
      </c>
      <c r="Z40" s="1">
        <v>109.7</v>
      </c>
      <c r="AA40" s="1">
        <v>111.6</v>
      </c>
      <c r="AB40" s="1">
        <v>108.2</v>
      </c>
      <c r="AC40" s="1">
        <v>110.6</v>
      </c>
      <c r="AD40" s="1">
        <v>113.6</v>
      </c>
    </row>
    <row r="41" spans="1:30" ht="12.5" x14ac:dyDescent="0.25">
      <c r="A41" s="1" t="s">
        <v>30</v>
      </c>
      <c r="B41" s="1">
        <v>2014</v>
      </c>
      <c r="C41" s="1" t="s">
        <v>35</v>
      </c>
      <c r="D41" s="1">
        <v>119.4</v>
      </c>
      <c r="E41" s="1">
        <v>117.7</v>
      </c>
      <c r="F41" s="1">
        <v>121.2</v>
      </c>
      <c r="G41" s="1">
        <v>115</v>
      </c>
      <c r="H41" s="1">
        <v>109</v>
      </c>
      <c r="I41" s="1">
        <v>116.6</v>
      </c>
      <c r="J41" s="1">
        <v>116</v>
      </c>
      <c r="K41" s="1">
        <v>109.8</v>
      </c>
      <c r="L41" s="1">
        <v>101.1</v>
      </c>
      <c r="M41" s="1">
        <v>110.4</v>
      </c>
      <c r="N41" s="1">
        <v>112.9</v>
      </c>
      <c r="O41" s="1">
        <v>117.8</v>
      </c>
      <c r="P41" s="1">
        <v>115.3</v>
      </c>
      <c r="Q41" s="1">
        <v>114.2</v>
      </c>
      <c r="R41" s="1">
        <v>117.1</v>
      </c>
      <c r="S41" s="1">
        <v>114.5</v>
      </c>
      <c r="T41" s="1">
        <v>116.7</v>
      </c>
      <c r="U41" s="1" t="s">
        <v>32</v>
      </c>
      <c r="V41" s="1">
        <v>113.2</v>
      </c>
      <c r="W41" s="1">
        <v>112.9</v>
      </c>
      <c r="X41" s="1">
        <v>110.9</v>
      </c>
      <c r="Y41" s="1">
        <v>110.8</v>
      </c>
      <c r="Z41" s="1">
        <v>109.9</v>
      </c>
      <c r="AA41" s="1">
        <v>112</v>
      </c>
      <c r="AB41" s="1">
        <v>108.7</v>
      </c>
      <c r="AC41" s="1">
        <v>110.9</v>
      </c>
      <c r="AD41" s="1">
        <v>114</v>
      </c>
    </row>
    <row r="42" spans="1:30" ht="12.5" x14ac:dyDescent="0.25">
      <c r="A42" s="1" t="s">
        <v>33</v>
      </c>
      <c r="B42" s="1">
        <v>2014</v>
      </c>
      <c r="C42" s="1" t="s">
        <v>35</v>
      </c>
      <c r="D42" s="1">
        <v>121.9</v>
      </c>
      <c r="E42" s="1">
        <v>122</v>
      </c>
      <c r="F42" s="1">
        <v>124.5</v>
      </c>
      <c r="G42" s="1">
        <v>115.2</v>
      </c>
      <c r="H42" s="1">
        <v>102.5</v>
      </c>
      <c r="I42" s="1">
        <v>114.1</v>
      </c>
      <c r="J42" s="1">
        <v>111.5</v>
      </c>
      <c r="K42" s="1">
        <v>108.2</v>
      </c>
      <c r="L42" s="1">
        <v>95.4</v>
      </c>
      <c r="M42" s="1">
        <v>113.5</v>
      </c>
      <c r="N42" s="1">
        <v>112.1</v>
      </c>
      <c r="O42" s="1">
        <v>119.9</v>
      </c>
      <c r="P42" s="1">
        <v>115.2</v>
      </c>
      <c r="Q42" s="1">
        <v>116.2</v>
      </c>
      <c r="R42" s="1">
        <v>115.3</v>
      </c>
      <c r="S42" s="1">
        <v>111.7</v>
      </c>
      <c r="T42" s="1">
        <v>114.7</v>
      </c>
      <c r="U42" s="1">
        <v>112.5</v>
      </c>
      <c r="V42" s="1">
        <v>111.1</v>
      </c>
      <c r="W42" s="1">
        <v>112.6</v>
      </c>
      <c r="X42" s="1">
        <v>110.4</v>
      </c>
      <c r="Y42" s="1">
        <v>111.3</v>
      </c>
      <c r="Z42" s="1">
        <v>110.3</v>
      </c>
      <c r="AA42" s="1">
        <v>111.6</v>
      </c>
      <c r="AB42" s="1">
        <v>108.7</v>
      </c>
      <c r="AC42" s="1">
        <v>111</v>
      </c>
      <c r="AD42" s="1">
        <v>113.1</v>
      </c>
    </row>
    <row r="43" spans="1:30" ht="12.5" x14ac:dyDescent="0.25">
      <c r="A43" s="1" t="s">
        <v>34</v>
      </c>
      <c r="B43" s="1">
        <v>2014</v>
      </c>
      <c r="C43" s="1" t="s">
        <v>35</v>
      </c>
      <c r="D43" s="1">
        <v>120.2</v>
      </c>
      <c r="E43" s="1">
        <v>119.2</v>
      </c>
      <c r="F43" s="1">
        <v>122.5</v>
      </c>
      <c r="G43" s="1">
        <v>115.1</v>
      </c>
      <c r="H43" s="1">
        <v>106.6</v>
      </c>
      <c r="I43" s="1">
        <v>115.4</v>
      </c>
      <c r="J43" s="1">
        <v>114.5</v>
      </c>
      <c r="K43" s="1">
        <v>109.3</v>
      </c>
      <c r="L43" s="1">
        <v>99.2</v>
      </c>
      <c r="M43" s="1">
        <v>111.4</v>
      </c>
      <c r="N43" s="1">
        <v>112.6</v>
      </c>
      <c r="O43" s="1">
        <v>118.8</v>
      </c>
      <c r="P43" s="1">
        <v>115.3</v>
      </c>
      <c r="Q43" s="1">
        <v>114.7</v>
      </c>
      <c r="R43" s="1">
        <v>116.4</v>
      </c>
      <c r="S43" s="1">
        <v>113.3</v>
      </c>
      <c r="T43" s="1">
        <v>115.9</v>
      </c>
      <c r="U43" s="1">
        <v>112.5</v>
      </c>
      <c r="V43" s="1">
        <v>112.4</v>
      </c>
      <c r="W43" s="1">
        <v>112.8</v>
      </c>
      <c r="X43" s="1">
        <v>110.7</v>
      </c>
      <c r="Y43" s="1">
        <v>111.1</v>
      </c>
      <c r="Z43" s="1">
        <v>110.1</v>
      </c>
      <c r="AA43" s="1">
        <v>111.8</v>
      </c>
      <c r="AB43" s="1">
        <v>108.7</v>
      </c>
      <c r="AC43" s="1">
        <v>110.9</v>
      </c>
      <c r="AD43" s="1">
        <v>113.6</v>
      </c>
    </row>
    <row r="44" spans="1:30" ht="12.5" x14ac:dyDescent="0.25">
      <c r="A44" s="1" t="s">
        <v>30</v>
      </c>
      <c r="B44" s="1">
        <v>2014</v>
      </c>
      <c r="C44" s="1" t="s">
        <v>36</v>
      </c>
      <c r="D44" s="1">
        <v>120.1</v>
      </c>
      <c r="E44" s="1">
        <v>118.1</v>
      </c>
      <c r="F44" s="1">
        <v>120.7</v>
      </c>
      <c r="G44" s="1">
        <v>116.1</v>
      </c>
      <c r="H44" s="1">
        <v>109.3</v>
      </c>
      <c r="I44" s="1">
        <v>119.6</v>
      </c>
      <c r="J44" s="1">
        <v>117.9</v>
      </c>
      <c r="K44" s="1">
        <v>110.2</v>
      </c>
      <c r="L44" s="1">
        <v>101.2</v>
      </c>
      <c r="M44" s="1">
        <v>110.7</v>
      </c>
      <c r="N44" s="1">
        <v>113</v>
      </c>
      <c r="O44" s="1">
        <v>118.3</v>
      </c>
      <c r="P44" s="1">
        <v>116.2</v>
      </c>
      <c r="Q44" s="1">
        <v>114.6</v>
      </c>
      <c r="R44" s="1">
        <v>117.5</v>
      </c>
      <c r="S44" s="1">
        <v>114.9</v>
      </c>
      <c r="T44" s="1">
        <v>117.2</v>
      </c>
      <c r="U44" s="1" t="s">
        <v>32</v>
      </c>
      <c r="V44" s="1">
        <v>113.4</v>
      </c>
      <c r="W44" s="1">
        <v>113.4</v>
      </c>
      <c r="X44" s="1">
        <v>111.4</v>
      </c>
      <c r="Y44" s="1">
        <v>111.2</v>
      </c>
      <c r="Z44" s="1">
        <v>110.2</v>
      </c>
      <c r="AA44" s="1">
        <v>112.4</v>
      </c>
      <c r="AB44" s="1">
        <v>108.9</v>
      </c>
      <c r="AC44" s="1">
        <v>111.3</v>
      </c>
      <c r="AD44" s="1">
        <v>114.6</v>
      </c>
    </row>
    <row r="45" spans="1:30" ht="12.5" x14ac:dyDescent="0.25">
      <c r="A45" s="1" t="s">
        <v>33</v>
      </c>
      <c r="B45" s="1">
        <v>2014</v>
      </c>
      <c r="C45" s="1" t="s">
        <v>36</v>
      </c>
      <c r="D45" s="1">
        <v>122.1</v>
      </c>
      <c r="E45" s="1">
        <v>121.4</v>
      </c>
      <c r="F45" s="1">
        <v>121.5</v>
      </c>
      <c r="G45" s="1">
        <v>116.2</v>
      </c>
      <c r="H45" s="1">
        <v>102.8</v>
      </c>
      <c r="I45" s="1">
        <v>117.7</v>
      </c>
      <c r="J45" s="1">
        <v>113.3</v>
      </c>
      <c r="K45" s="1">
        <v>108.9</v>
      </c>
      <c r="L45" s="1">
        <v>96.3</v>
      </c>
      <c r="M45" s="1">
        <v>114.1</v>
      </c>
      <c r="N45" s="1">
        <v>112.2</v>
      </c>
      <c r="O45" s="1">
        <v>120.5</v>
      </c>
      <c r="P45" s="1">
        <v>116</v>
      </c>
      <c r="Q45" s="1">
        <v>116.7</v>
      </c>
      <c r="R45" s="1">
        <v>115.8</v>
      </c>
      <c r="S45" s="1">
        <v>112.1</v>
      </c>
      <c r="T45" s="1">
        <v>115.2</v>
      </c>
      <c r="U45" s="1">
        <v>113.2</v>
      </c>
      <c r="V45" s="1">
        <v>110.9</v>
      </c>
      <c r="W45" s="1">
        <v>113</v>
      </c>
      <c r="X45" s="1">
        <v>110.8</v>
      </c>
      <c r="Y45" s="1">
        <v>111.6</v>
      </c>
      <c r="Z45" s="1">
        <v>110.9</v>
      </c>
      <c r="AA45" s="1">
        <v>111.8</v>
      </c>
      <c r="AB45" s="1">
        <v>109.2</v>
      </c>
      <c r="AC45" s="1">
        <v>111.4</v>
      </c>
      <c r="AD45" s="1">
        <v>113.7</v>
      </c>
    </row>
    <row r="46" spans="1:30" ht="12.5" x14ac:dyDescent="0.25">
      <c r="A46" s="1" t="s">
        <v>34</v>
      </c>
      <c r="B46" s="1">
        <v>2014</v>
      </c>
      <c r="C46" s="1" t="s">
        <v>46</v>
      </c>
      <c r="D46" s="1">
        <v>120.7</v>
      </c>
      <c r="E46" s="1">
        <v>119.3</v>
      </c>
      <c r="F46" s="1">
        <v>121</v>
      </c>
      <c r="G46" s="1">
        <v>116.1</v>
      </c>
      <c r="H46" s="1">
        <v>106.9</v>
      </c>
      <c r="I46" s="1">
        <v>118.7</v>
      </c>
      <c r="J46" s="1">
        <v>116.3</v>
      </c>
      <c r="K46" s="1">
        <v>109.8</v>
      </c>
      <c r="L46" s="1">
        <v>99.6</v>
      </c>
      <c r="M46" s="1">
        <v>111.8</v>
      </c>
      <c r="N46" s="1">
        <v>112.7</v>
      </c>
      <c r="O46" s="1">
        <v>119.3</v>
      </c>
      <c r="P46" s="1">
        <v>116.1</v>
      </c>
      <c r="Q46" s="1">
        <v>115.2</v>
      </c>
      <c r="R46" s="1">
        <v>116.8</v>
      </c>
      <c r="S46" s="1">
        <v>113.7</v>
      </c>
      <c r="T46" s="1">
        <v>116.4</v>
      </c>
      <c r="U46" s="1">
        <v>113.2</v>
      </c>
      <c r="V46" s="1">
        <v>112.5</v>
      </c>
      <c r="W46" s="1">
        <v>113.2</v>
      </c>
      <c r="X46" s="1">
        <v>111.2</v>
      </c>
      <c r="Y46" s="1">
        <v>111.4</v>
      </c>
      <c r="Z46" s="1">
        <v>110.6</v>
      </c>
      <c r="AA46" s="1">
        <v>112</v>
      </c>
      <c r="AB46" s="1">
        <v>109</v>
      </c>
      <c r="AC46" s="1">
        <v>111.3</v>
      </c>
      <c r="AD46" s="1">
        <v>114.2</v>
      </c>
    </row>
    <row r="47" spans="1:30" ht="12.5" x14ac:dyDescent="0.25">
      <c r="A47" s="1" t="s">
        <v>30</v>
      </c>
      <c r="B47" s="1">
        <v>2014</v>
      </c>
      <c r="C47" s="1" t="s">
        <v>37</v>
      </c>
      <c r="D47" s="1">
        <v>120.2</v>
      </c>
      <c r="E47" s="1">
        <v>118.9</v>
      </c>
      <c r="F47" s="1">
        <v>118.1</v>
      </c>
      <c r="G47" s="1">
        <v>117</v>
      </c>
      <c r="H47" s="1">
        <v>109.7</v>
      </c>
      <c r="I47" s="1">
        <v>125.5</v>
      </c>
      <c r="J47" s="1">
        <v>120.5</v>
      </c>
      <c r="K47" s="1">
        <v>111</v>
      </c>
      <c r="L47" s="1">
        <v>102.6</v>
      </c>
      <c r="M47" s="1">
        <v>111.2</v>
      </c>
      <c r="N47" s="1">
        <v>113.5</v>
      </c>
      <c r="O47" s="1">
        <v>118.7</v>
      </c>
      <c r="P47" s="1">
        <v>117.2</v>
      </c>
      <c r="Q47" s="1">
        <v>115.4</v>
      </c>
      <c r="R47" s="1">
        <v>118.1</v>
      </c>
      <c r="S47" s="1">
        <v>116.1</v>
      </c>
      <c r="T47" s="1">
        <v>117.8</v>
      </c>
      <c r="U47" s="1" t="s">
        <v>32</v>
      </c>
      <c r="V47" s="1">
        <v>113.4</v>
      </c>
      <c r="W47" s="1">
        <v>113.7</v>
      </c>
      <c r="X47" s="1">
        <v>111.8</v>
      </c>
      <c r="Y47" s="1">
        <v>111.2</v>
      </c>
      <c r="Z47" s="1">
        <v>110.5</v>
      </c>
      <c r="AA47" s="1">
        <v>113</v>
      </c>
      <c r="AB47" s="1">
        <v>108.9</v>
      </c>
      <c r="AC47" s="1">
        <v>111.5</v>
      </c>
      <c r="AD47" s="1">
        <v>115.4</v>
      </c>
    </row>
    <row r="48" spans="1:30" ht="12.5" x14ac:dyDescent="0.25">
      <c r="A48" s="1" t="s">
        <v>33</v>
      </c>
      <c r="B48" s="1">
        <v>2014</v>
      </c>
      <c r="C48" s="1" t="s">
        <v>37</v>
      </c>
      <c r="D48" s="1">
        <v>122.5</v>
      </c>
      <c r="E48" s="1">
        <v>121.7</v>
      </c>
      <c r="F48" s="1">
        <v>113.3</v>
      </c>
      <c r="G48" s="1">
        <v>117</v>
      </c>
      <c r="H48" s="1">
        <v>103.1</v>
      </c>
      <c r="I48" s="1">
        <v>126.7</v>
      </c>
      <c r="J48" s="1">
        <v>121.2</v>
      </c>
      <c r="K48" s="1">
        <v>111</v>
      </c>
      <c r="L48" s="1">
        <v>100.3</v>
      </c>
      <c r="M48" s="1">
        <v>115.3</v>
      </c>
      <c r="N48" s="1">
        <v>112.7</v>
      </c>
      <c r="O48" s="1">
        <v>121</v>
      </c>
      <c r="P48" s="1">
        <v>118.2</v>
      </c>
      <c r="Q48" s="1">
        <v>117.6</v>
      </c>
      <c r="R48" s="1">
        <v>116.3</v>
      </c>
      <c r="S48" s="1">
        <v>112.5</v>
      </c>
      <c r="T48" s="1">
        <v>115.7</v>
      </c>
      <c r="U48" s="1">
        <v>113.9</v>
      </c>
      <c r="V48" s="1">
        <v>110.9</v>
      </c>
      <c r="W48" s="1">
        <v>113.4</v>
      </c>
      <c r="X48" s="1">
        <v>111</v>
      </c>
      <c r="Y48" s="1">
        <v>111.2</v>
      </c>
      <c r="Z48" s="1">
        <v>111.2</v>
      </c>
      <c r="AA48" s="1">
        <v>112.5</v>
      </c>
      <c r="AB48" s="1">
        <v>109.1</v>
      </c>
      <c r="AC48" s="1">
        <v>111.4</v>
      </c>
      <c r="AD48" s="1">
        <v>114.7</v>
      </c>
    </row>
    <row r="49" spans="1:30" ht="12.5" x14ac:dyDescent="0.25">
      <c r="A49" s="1" t="s">
        <v>34</v>
      </c>
      <c r="B49" s="1">
        <v>2014</v>
      </c>
      <c r="C49" s="1" t="s">
        <v>37</v>
      </c>
      <c r="D49" s="1">
        <v>120.9</v>
      </c>
      <c r="E49" s="1">
        <v>119.9</v>
      </c>
      <c r="F49" s="1">
        <v>116.2</v>
      </c>
      <c r="G49" s="1">
        <v>117</v>
      </c>
      <c r="H49" s="1">
        <v>107.3</v>
      </c>
      <c r="I49" s="1">
        <v>126.1</v>
      </c>
      <c r="J49" s="1">
        <v>120.7</v>
      </c>
      <c r="K49" s="1">
        <v>111</v>
      </c>
      <c r="L49" s="1">
        <v>101.8</v>
      </c>
      <c r="M49" s="1">
        <v>112.6</v>
      </c>
      <c r="N49" s="1">
        <v>113.2</v>
      </c>
      <c r="O49" s="1">
        <v>119.8</v>
      </c>
      <c r="P49" s="1">
        <v>117.6</v>
      </c>
      <c r="Q49" s="1">
        <v>116</v>
      </c>
      <c r="R49" s="1">
        <v>117.4</v>
      </c>
      <c r="S49" s="1">
        <v>114.6</v>
      </c>
      <c r="T49" s="1">
        <v>117</v>
      </c>
      <c r="U49" s="1">
        <v>113.9</v>
      </c>
      <c r="V49" s="1">
        <v>112.5</v>
      </c>
      <c r="W49" s="1">
        <v>113.6</v>
      </c>
      <c r="X49" s="1">
        <v>111.5</v>
      </c>
      <c r="Y49" s="1">
        <v>111.2</v>
      </c>
      <c r="Z49" s="1">
        <v>110.9</v>
      </c>
      <c r="AA49" s="1">
        <v>112.7</v>
      </c>
      <c r="AB49" s="1">
        <v>109</v>
      </c>
      <c r="AC49" s="1">
        <v>111.5</v>
      </c>
      <c r="AD49" s="1">
        <v>115.1</v>
      </c>
    </row>
    <row r="50" spans="1:30" ht="12.5" x14ac:dyDescent="0.25">
      <c r="A50" s="1" t="s">
        <v>30</v>
      </c>
      <c r="B50" s="1">
        <v>2014</v>
      </c>
      <c r="C50" s="1" t="s">
        <v>38</v>
      </c>
      <c r="D50" s="1">
        <v>120.3</v>
      </c>
      <c r="E50" s="1">
        <v>120.2</v>
      </c>
      <c r="F50" s="1">
        <v>116.9</v>
      </c>
      <c r="G50" s="1">
        <v>118</v>
      </c>
      <c r="H50" s="1">
        <v>110.1</v>
      </c>
      <c r="I50" s="1">
        <v>126.3</v>
      </c>
      <c r="J50" s="1">
        <v>123.9</v>
      </c>
      <c r="K50" s="1">
        <v>111.5</v>
      </c>
      <c r="L50" s="1">
        <v>103.5</v>
      </c>
      <c r="M50" s="1">
        <v>111.6</v>
      </c>
      <c r="N50" s="1">
        <v>114.2</v>
      </c>
      <c r="O50" s="1">
        <v>119.2</v>
      </c>
      <c r="P50" s="1">
        <v>118.2</v>
      </c>
      <c r="Q50" s="1">
        <v>116.3</v>
      </c>
      <c r="R50" s="1">
        <v>118.7</v>
      </c>
      <c r="S50" s="1">
        <v>116.8</v>
      </c>
      <c r="T50" s="1">
        <v>118.5</v>
      </c>
      <c r="U50" s="1" t="s">
        <v>32</v>
      </c>
      <c r="V50" s="1">
        <v>113.4</v>
      </c>
      <c r="W50" s="1">
        <v>114.1</v>
      </c>
      <c r="X50" s="1">
        <v>112.1</v>
      </c>
      <c r="Y50" s="1">
        <v>111.4</v>
      </c>
      <c r="Z50" s="1">
        <v>110.9</v>
      </c>
      <c r="AA50" s="1">
        <v>113.1</v>
      </c>
      <c r="AB50" s="1">
        <v>108.9</v>
      </c>
      <c r="AC50" s="1">
        <v>111.8</v>
      </c>
      <c r="AD50" s="1">
        <v>116</v>
      </c>
    </row>
    <row r="51" spans="1:30" ht="12.5" x14ac:dyDescent="0.25">
      <c r="A51" s="1" t="s">
        <v>33</v>
      </c>
      <c r="B51" s="1">
        <v>2014</v>
      </c>
      <c r="C51" s="1" t="s">
        <v>38</v>
      </c>
      <c r="D51" s="1">
        <v>122.7</v>
      </c>
      <c r="E51" s="1">
        <v>124.1</v>
      </c>
      <c r="F51" s="1">
        <v>114.2</v>
      </c>
      <c r="G51" s="1">
        <v>119.1</v>
      </c>
      <c r="H51" s="1">
        <v>103.5</v>
      </c>
      <c r="I51" s="1">
        <v>129.19999999999999</v>
      </c>
      <c r="J51" s="1">
        <v>127</v>
      </c>
      <c r="K51" s="1">
        <v>112.6</v>
      </c>
      <c r="L51" s="1">
        <v>101.3</v>
      </c>
      <c r="M51" s="1">
        <v>117</v>
      </c>
      <c r="N51" s="1">
        <v>112.9</v>
      </c>
      <c r="O51" s="1">
        <v>121.7</v>
      </c>
      <c r="P51" s="1">
        <v>120</v>
      </c>
      <c r="Q51" s="1">
        <v>118.3</v>
      </c>
      <c r="R51" s="1">
        <v>116.8</v>
      </c>
      <c r="S51" s="1">
        <v>112.9</v>
      </c>
      <c r="T51" s="1">
        <v>116.2</v>
      </c>
      <c r="U51" s="1">
        <v>114.3</v>
      </c>
      <c r="V51" s="1">
        <v>111.1</v>
      </c>
      <c r="W51" s="1">
        <v>114.1</v>
      </c>
      <c r="X51" s="1">
        <v>111.2</v>
      </c>
      <c r="Y51" s="1">
        <v>111.3</v>
      </c>
      <c r="Z51" s="1">
        <v>111.5</v>
      </c>
      <c r="AA51" s="1">
        <v>112.9</v>
      </c>
      <c r="AB51" s="1">
        <v>109.3</v>
      </c>
      <c r="AC51" s="1">
        <v>111.7</v>
      </c>
      <c r="AD51" s="1">
        <v>115.6</v>
      </c>
    </row>
    <row r="52" spans="1:30" ht="12.5" x14ac:dyDescent="0.25">
      <c r="A52" s="1" t="s">
        <v>34</v>
      </c>
      <c r="B52" s="1">
        <v>2014</v>
      </c>
      <c r="C52" s="1" t="s">
        <v>38</v>
      </c>
      <c r="D52" s="1">
        <v>121.1</v>
      </c>
      <c r="E52" s="1">
        <v>121.6</v>
      </c>
      <c r="F52" s="1">
        <v>115.9</v>
      </c>
      <c r="G52" s="1">
        <v>118.4</v>
      </c>
      <c r="H52" s="1">
        <v>107.7</v>
      </c>
      <c r="I52" s="1">
        <v>127.7</v>
      </c>
      <c r="J52" s="1">
        <v>125</v>
      </c>
      <c r="K52" s="1">
        <v>111.9</v>
      </c>
      <c r="L52" s="1">
        <v>102.8</v>
      </c>
      <c r="M52" s="1">
        <v>113.4</v>
      </c>
      <c r="N52" s="1">
        <v>113.7</v>
      </c>
      <c r="O52" s="1">
        <v>120.4</v>
      </c>
      <c r="P52" s="1">
        <v>118.9</v>
      </c>
      <c r="Q52" s="1">
        <v>116.8</v>
      </c>
      <c r="R52" s="1">
        <v>118</v>
      </c>
      <c r="S52" s="1">
        <v>115.2</v>
      </c>
      <c r="T52" s="1">
        <v>117.6</v>
      </c>
      <c r="U52" s="1">
        <v>114.3</v>
      </c>
      <c r="V52" s="1">
        <v>112.5</v>
      </c>
      <c r="W52" s="1">
        <v>114.1</v>
      </c>
      <c r="X52" s="1">
        <v>111.8</v>
      </c>
      <c r="Y52" s="1">
        <v>111.3</v>
      </c>
      <c r="Z52" s="1">
        <v>111.2</v>
      </c>
      <c r="AA52" s="1">
        <v>113</v>
      </c>
      <c r="AB52" s="1">
        <v>109.1</v>
      </c>
      <c r="AC52" s="1">
        <v>111.8</v>
      </c>
      <c r="AD52" s="1">
        <v>115.8</v>
      </c>
    </row>
    <row r="53" spans="1:30" ht="12.5" x14ac:dyDescent="0.25">
      <c r="A53" s="1" t="s">
        <v>30</v>
      </c>
      <c r="B53" s="1">
        <v>2014</v>
      </c>
      <c r="C53" s="1" t="s">
        <v>39</v>
      </c>
      <c r="D53" s="1">
        <v>120.7</v>
      </c>
      <c r="E53" s="1">
        <v>121.6</v>
      </c>
      <c r="F53" s="1">
        <v>116.1</v>
      </c>
      <c r="G53" s="1">
        <v>119.3</v>
      </c>
      <c r="H53" s="1">
        <v>110.3</v>
      </c>
      <c r="I53" s="1">
        <v>125.8</v>
      </c>
      <c r="J53" s="1">
        <v>129.30000000000001</v>
      </c>
      <c r="K53" s="1">
        <v>112.2</v>
      </c>
      <c r="L53" s="1">
        <v>103.6</v>
      </c>
      <c r="M53" s="1">
        <v>112.3</v>
      </c>
      <c r="N53" s="1">
        <v>114.9</v>
      </c>
      <c r="O53" s="1">
        <v>120.1</v>
      </c>
      <c r="P53" s="1">
        <v>119.5</v>
      </c>
      <c r="Q53" s="1">
        <v>117.3</v>
      </c>
      <c r="R53" s="1">
        <v>119.7</v>
      </c>
      <c r="S53" s="1">
        <v>117.3</v>
      </c>
      <c r="T53" s="1">
        <v>119.3</v>
      </c>
      <c r="U53" s="1" t="s">
        <v>32</v>
      </c>
      <c r="V53" s="1">
        <v>114.4</v>
      </c>
      <c r="W53" s="1">
        <v>114.9</v>
      </c>
      <c r="X53" s="1">
        <v>112.8</v>
      </c>
      <c r="Y53" s="1">
        <v>112.2</v>
      </c>
      <c r="Z53" s="1">
        <v>111.4</v>
      </c>
      <c r="AA53" s="1">
        <v>114.3</v>
      </c>
      <c r="AB53" s="1">
        <v>108</v>
      </c>
      <c r="AC53" s="1">
        <v>112.3</v>
      </c>
      <c r="AD53" s="1">
        <v>117</v>
      </c>
    </row>
    <row r="54" spans="1:30" ht="12.5" x14ac:dyDescent="0.25">
      <c r="A54" s="1" t="s">
        <v>33</v>
      </c>
      <c r="B54" s="1">
        <v>2014</v>
      </c>
      <c r="C54" s="1" t="s">
        <v>39</v>
      </c>
      <c r="D54" s="1">
        <v>123.1</v>
      </c>
      <c r="E54" s="1">
        <v>125.9</v>
      </c>
      <c r="F54" s="1">
        <v>115.4</v>
      </c>
      <c r="G54" s="1">
        <v>120.4</v>
      </c>
      <c r="H54" s="1">
        <v>103.4</v>
      </c>
      <c r="I54" s="1">
        <v>131.19999999999999</v>
      </c>
      <c r="J54" s="1">
        <v>137.5</v>
      </c>
      <c r="K54" s="1">
        <v>112.8</v>
      </c>
      <c r="L54" s="1">
        <v>101.4</v>
      </c>
      <c r="M54" s="1">
        <v>118.3</v>
      </c>
      <c r="N54" s="1">
        <v>113.2</v>
      </c>
      <c r="O54" s="1">
        <v>122.4</v>
      </c>
      <c r="P54" s="1">
        <v>122</v>
      </c>
      <c r="Q54" s="1">
        <v>119</v>
      </c>
      <c r="R54" s="1">
        <v>117.4</v>
      </c>
      <c r="S54" s="1">
        <v>113.2</v>
      </c>
      <c r="T54" s="1">
        <v>116.7</v>
      </c>
      <c r="U54" s="1">
        <v>113.9</v>
      </c>
      <c r="V54" s="1">
        <v>111.2</v>
      </c>
      <c r="W54" s="1">
        <v>114.3</v>
      </c>
      <c r="X54" s="1">
        <v>111.4</v>
      </c>
      <c r="Y54" s="1">
        <v>111.5</v>
      </c>
      <c r="Z54" s="1">
        <v>111.8</v>
      </c>
      <c r="AA54" s="1">
        <v>115.1</v>
      </c>
      <c r="AB54" s="1">
        <v>108.7</v>
      </c>
      <c r="AC54" s="1">
        <v>112.2</v>
      </c>
      <c r="AD54" s="1">
        <v>116.4</v>
      </c>
    </row>
    <row r="55" spans="1:30" ht="12.5" x14ac:dyDescent="0.25">
      <c r="A55" s="1" t="s">
        <v>34</v>
      </c>
      <c r="B55" s="1">
        <v>2014</v>
      </c>
      <c r="C55" s="1" t="s">
        <v>39</v>
      </c>
      <c r="D55" s="1">
        <v>121.5</v>
      </c>
      <c r="E55" s="1">
        <v>123.1</v>
      </c>
      <c r="F55" s="1">
        <v>115.8</v>
      </c>
      <c r="G55" s="1">
        <v>119.7</v>
      </c>
      <c r="H55" s="1">
        <v>107.8</v>
      </c>
      <c r="I55" s="1">
        <v>128.30000000000001</v>
      </c>
      <c r="J55" s="1">
        <v>132.1</v>
      </c>
      <c r="K55" s="1">
        <v>112.4</v>
      </c>
      <c r="L55" s="1">
        <v>102.9</v>
      </c>
      <c r="M55" s="1">
        <v>114.3</v>
      </c>
      <c r="N55" s="1">
        <v>114.2</v>
      </c>
      <c r="O55" s="1">
        <v>121.2</v>
      </c>
      <c r="P55" s="1">
        <v>120.4</v>
      </c>
      <c r="Q55" s="1">
        <v>117.8</v>
      </c>
      <c r="R55" s="1">
        <v>118.8</v>
      </c>
      <c r="S55" s="1">
        <v>115.6</v>
      </c>
      <c r="T55" s="1">
        <v>118.3</v>
      </c>
      <c r="U55" s="1">
        <v>113.9</v>
      </c>
      <c r="V55" s="1">
        <v>113.2</v>
      </c>
      <c r="W55" s="1">
        <v>114.6</v>
      </c>
      <c r="X55" s="1">
        <v>112.3</v>
      </c>
      <c r="Y55" s="1">
        <v>111.8</v>
      </c>
      <c r="Z55" s="1">
        <v>111.6</v>
      </c>
      <c r="AA55" s="1">
        <v>114.8</v>
      </c>
      <c r="AB55" s="1">
        <v>108.3</v>
      </c>
      <c r="AC55" s="1">
        <v>112.3</v>
      </c>
      <c r="AD55" s="1">
        <v>116.7</v>
      </c>
    </row>
    <row r="56" spans="1:30" ht="12.5" x14ac:dyDescent="0.25">
      <c r="A56" s="1" t="s">
        <v>30</v>
      </c>
      <c r="B56" s="1">
        <v>2014</v>
      </c>
      <c r="C56" s="1" t="s">
        <v>40</v>
      </c>
      <c r="D56" s="1">
        <v>121.7</v>
      </c>
      <c r="E56" s="1">
        <v>122.5</v>
      </c>
      <c r="F56" s="1">
        <v>117.7</v>
      </c>
      <c r="G56" s="1">
        <v>120.6</v>
      </c>
      <c r="H56" s="1">
        <v>110.4</v>
      </c>
      <c r="I56" s="1">
        <v>129.1</v>
      </c>
      <c r="J56" s="1">
        <v>150.1</v>
      </c>
      <c r="K56" s="1">
        <v>113.2</v>
      </c>
      <c r="L56" s="1">
        <v>104.8</v>
      </c>
      <c r="M56" s="1">
        <v>113.3</v>
      </c>
      <c r="N56" s="1">
        <v>115.6</v>
      </c>
      <c r="O56" s="1">
        <v>120.9</v>
      </c>
      <c r="P56" s="1">
        <v>123.3</v>
      </c>
      <c r="Q56" s="1">
        <v>118</v>
      </c>
      <c r="R56" s="1">
        <v>120.7</v>
      </c>
      <c r="S56" s="1">
        <v>118.3</v>
      </c>
      <c r="T56" s="1">
        <v>120.3</v>
      </c>
      <c r="U56" s="1" t="s">
        <v>32</v>
      </c>
      <c r="V56" s="1">
        <v>115.3</v>
      </c>
      <c r="W56" s="1">
        <v>115.4</v>
      </c>
      <c r="X56" s="1">
        <v>113.4</v>
      </c>
      <c r="Y56" s="1">
        <v>113.2</v>
      </c>
      <c r="Z56" s="1">
        <v>111.8</v>
      </c>
      <c r="AA56" s="1">
        <v>115.5</v>
      </c>
      <c r="AB56" s="1">
        <v>108.8</v>
      </c>
      <c r="AC56" s="1">
        <v>113.1</v>
      </c>
      <c r="AD56" s="1">
        <v>119.5</v>
      </c>
    </row>
    <row r="57" spans="1:30" ht="12.5" x14ac:dyDescent="0.25">
      <c r="A57" s="1" t="s">
        <v>33</v>
      </c>
      <c r="B57" s="1">
        <v>2014</v>
      </c>
      <c r="C57" s="1" t="s">
        <v>40</v>
      </c>
      <c r="D57" s="1">
        <v>123.8</v>
      </c>
      <c r="E57" s="1">
        <v>126.4</v>
      </c>
      <c r="F57" s="1">
        <v>118</v>
      </c>
      <c r="G57" s="1">
        <v>121.6</v>
      </c>
      <c r="H57" s="1">
        <v>103.5</v>
      </c>
      <c r="I57" s="1">
        <v>133.69999999999999</v>
      </c>
      <c r="J57" s="1">
        <v>172.4</v>
      </c>
      <c r="K57" s="1">
        <v>113.1</v>
      </c>
      <c r="L57" s="1">
        <v>102.7</v>
      </c>
      <c r="M57" s="1">
        <v>120</v>
      </c>
      <c r="N57" s="1">
        <v>113.8</v>
      </c>
      <c r="O57" s="1">
        <v>123.4</v>
      </c>
      <c r="P57" s="1">
        <v>127.1</v>
      </c>
      <c r="Q57" s="1">
        <v>121</v>
      </c>
      <c r="R57" s="1">
        <v>118</v>
      </c>
      <c r="S57" s="1">
        <v>113.6</v>
      </c>
      <c r="T57" s="1">
        <v>117.4</v>
      </c>
      <c r="U57" s="1">
        <v>114.8</v>
      </c>
      <c r="V57" s="1">
        <v>111.6</v>
      </c>
      <c r="W57" s="1">
        <v>114.9</v>
      </c>
      <c r="X57" s="1">
        <v>111.5</v>
      </c>
      <c r="Y57" s="1">
        <v>113</v>
      </c>
      <c r="Z57" s="1">
        <v>112.4</v>
      </c>
      <c r="AA57" s="1">
        <v>117.8</v>
      </c>
      <c r="AB57" s="1">
        <v>109.7</v>
      </c>
      <c r="AC57" s="1">
        <v>113.5</v>
      </c>
      <c r="AD57" s="1">
        <v>118.9</v>
      </c>
    </row>
    <row r="58" spans="1:30" ht="12.5" x14ac:dyDescent="0.25">
      <c r="A58" s="1" t="s">
        <v>34</v>
      </c>
      <c r="B58" s="1">
        <v>2014</v>
      </c>
      <c r="C58" s="1" t="s">
        <v>40</v>
      </c>
      <c r="D58" s="1">
        <v>122.4</v>
      </c>
      <c r="E58" s="1">
        <v>123.9</v>
      </c>
      <c r="F58" s="1">
        <v>117.8</v>
      </c>
      <c r="G58" s="1">
        <v>121</v>
      </c>
      <c r="H58" s="1">
        <v>107.9</v>
      </c>
      <c r="I58" s="1">
        <v>131.19999999999999</v>
      </c>
      <c r="J58" s="1">
        <v>157.69999999999999</v>
      </c>
      <c r="K58" s="1">
        <v>113.2</v>
      </c>
      <c r="L58" s="1">
        <v>104.1</v>
      </c>
      <c r="M58" s="1">
        <v>115.5</v>
      </c>
      <c r="N58" s="1">
        <v>114.8</v>
      </c>
      <c r="O58" s="1">
        <v>122.1</v>
      </c>
      <c r="P58" s="1">
        <v>124.7</v>
      </c>
      <c r="Q58" s="1">
        <v>118.8</v>
      </c>
      <c r="R58" s="1">
        <v>119.6</v>
      </c>
      <c r="S58" s="1">
        <v>116.3</v>
      </c>
      <c r="T58" s="1">
        <v>119.1</v>
      </c>
      <c r="U58" s="1">
        <v>114.8</v>
      </c>
      <c r="V58" s="1">
        <v>113.9</v>
      </c>
      <c r="W58" s="1">
        <v>115.2</v>
      </c>
      <c r="X58" s="1">
        <v>112.7</v>
      </c>
      <c r="Y58" s="1">
        <v>113.1</v>
      </c>
      <c r="Z58" s="1">
        <v>112.1</v>
      </c>
      <c r="AA58" s="1">
        <v>116.8</v>
      </c>
      <c r="AB58" s="1">
        <v>109.2</v>
      </c>
      <c r="AC58" s="1">
        <v>113.3</v>
      </c>
      <c r="AD58" s="1">
        <v>119.2</v>
      </c>
    </row>
    <row r="59" spans="1:30" ht="12.5" x14ac:dyDescent="0.25">
      <c r="A59" s="1" t="s">
        <v>30</v>
      </c>
      <c r="B59" s="1">
        <v>2014</v>
      </c>
      <c r="C59" s="1" t="s">
        <v>41</v>
      </c>
      <c r="D59" s="1">
        <v>121.8</v>
      </c>
      <c r="E59" s="1">
        <v>122.8</v>
      </c>
      <c r="F59" s="1">
        <v>117.8</v>
      </c>
      <c r="G59" s="1">
        <v>121.9</v>
      </c>
      <c r="H59" s="1">
        <v>110.6</v>
      </c>
      <c r="I59" s="1">
        <v>129.69999999999999</v>
      </c>
      <c r="J59" s="1">
        <v>161.1</v>
      </c>
      <c r="K59" s="1">
        <v>114.1</v>
      </c>
      <c r="L59" s="1">
        <v>105.1</v>
      </c>
      <c r="M59" s="1">
        <v>114.6</v>
      </c>
      <c r="N59" s="1">
        <v>115.8</v>
      </c>
      <c r="O59" s="1">
        <v>121.7</v>
      </c>
      <c r="P59" s="1">
        <v>125.3</v>
      </c>
      <c r="Q59" s="1">
        <v>118.8</v>
      </c>
      <c r="R59" s="1">
        <v>120.9</v>
      </c>
      <c r="S59" s="1">
        <v>118.8</v>
      </c>
      <c r="T59" s="1">
        <v>120.7</v>
      </c>
      <c r="U59" s="1" t="s">
        <v>32</v>
      </c>
      <c r="V59" s="1">
        <v>115.4</v>
      </c>
      <c r="W59" s="1">
        <v>115.9</v>
      </c>
      <c r="X59" s="1">
        <v>114</v>
      </c>
      <c r="Y59" s="1">
        <v>113.2</v>
      </c>
      <c r="Z59" s="1">
        <v>112.2</v>
      </c>
      <c r="AA59" s="1">
        <v>116.2</v>
      </c>
      <c r="AB59" s="1">
        <v>109.4</v>
      </c>
      <c r="AC59" s="1">
        <v>113.5</v>
      </c>
      <c r="AD59" s="1">
        <v>120.7</v>
      </c>
    </row>
    <row r="60" spans="1:30" ht="12.5" x14ac:dyDescent="0.25">
      <c r="A60" s="1" t="s">
        <v>33</v>
      </c>
      <c r="B60" s="1">
        <v>2014</v>
      </c>
      <c r="C60" s="1" t="s">
        <v>41</v>
      </c>
      <c r="D60" s="1">
        <v>124.8</v>
      </c>
      <c r="E60" s="1">
        <v>127.3</v>
      </c>
      <c r="F60" s="1">
        <v>116.5</v>
      </c>
      <c r="G60" s="1">
        <v>122.2</v>
      </c>
      <c r="H60" s="1">
        <v>103.6</v>
      </c>
      <c r="I60" s="1">
        <v>132.69999999999999</v>
      </c>
      <c r="J60" s="1">
        <v>181.9</v>
      </c>
      <c r="K60" s="1">
        <v>115.2</v>
      </c>
      <c r="L60" s="1">
        <v>102.7</v>
      </c>
      <c r="M60" s="1">
        <v>122.1</v>
      </c>
      <c r="N60" s="1">
        <v>114.4</v>
      </c>
      <c r="O60" s="1">
        <v>124.7</v>
      </c>
      <c r="P60" s="1">
        <v>128.9</v>
      </c>
      <c r="Q60" s="1">
        <v>123</v>
      </c>
      <c r="R60" s="1">
        <v>118.6</v>
      </c>
      <c r="S60" s="1">
        <v>114.1</v>
      </c>
      <c r="T60" s="1">
        <v>117.9</v>
      </c>
      <c r="U60" s="1">
        <v>115.5</v>
      </c>
      <c r="V60" s="1">
        <v>111.8</v>
      </c>
      <c r="W60" s="1">
        <v>115.3</v>
      </c>
      <c r="X60" s="1">
        <v>112.2</v>
      </c>
      <c r="Y60" s="1">
        <v>112.5</v>
      </c>
      <c r="Z60" s="1">
        <v>112.9</v>
      </c>
      <c r="AA60" s="1">
        <v>119.2</v>
      </c>
      <c r="AB60" s="1">
        <v>110.5</v>
      </c>
      <c r="AC60" s="1">
        <v>113.9</v>
      </c>
      <c r="AD60" s="1">
        <v>119.9</v>
      </c>
    </row>
    <row r="61" spans="1:30" ht="12.5" x14ac:dyDescent="0.25">
      <c r="A61" s="1" t="s">
        <v>34</v>
      </c>
      <c r="B61" s="1">
        <v>2014</v>
      </c>
      <c r="C61" s="1" t="s">
        <v>41</v>
      </c>
      <c r="D61" s="1">
        <v>122.7</v>
      </c>
      <c r="E61" s="1">
        <v>124.4</v>
      </c>
      <c r="F61" s="1">
        <v>117.3</v>
      </c>
      <c r="G61" s="1">
        <v>122</v>
      </c>
      <c r="H61" s="1">
        <v>108</v>
      </c>
      <c r="I61" s="1">
        <v>131.1</v>
      </c>
      <c r="J61" s="1">
        <v>168.2</v>
      </c>
      <c r="K61" s="1">
        <v>114.5</v>
      </c>
      <c r="L61" s="1">
        <v>104.3</v>
      </c>
      <c r="M61" s="1">
        <v>117.1</v>
      </c>
      <c r="N61" s="1">
        <v>115.2</v>
      </c>
      <c r="O61" s="1">
        <v>123.1</v>
      </c>
      <c r="P61" s="1">
        <v>126.6</v>
      </c>
      <c r="Q61" s="1">
        <v>119.9</v>
      </c>
      <c r="R61" s="1">
        <v>120</v>
      </c>
      <c r="S61" s="1">
        <v>116.8</v>
      </c>
      <c r="T61" s="1">
        <v>119.6</v>
      </c>
      <c r="U61" s="1">
        <v>115.5</v>
      </c>
      <c r="V61" s="1">
        <v>114</v>
      </c>
      <c r="W61" s="1">
        <v>115.6</v>
      </c>
      <c r="X61" s="1">
        <v>113.3</v>
      </c>
      <c r="Y61" s="1">
        <v>112.8</v>
      </c>
      <c r="Z61" s="1">
        <v>112.6</v>
      </c>
      <c r="AA61" s="1">
        <v>118</v>
      </c>
      <c r="AB61" s="1">
        <v>109.9</v>
      </c>
      <c r="AC61" s="1">
        <v>113.7</v>
      </c>
      <c r="AD61" s="1">
        <v>120.3</v>
      </c>
    </row>
    <row r="62" spans="1:30" ht="12.5" x14ac:dyDescent="0.25">
      <c r="A62" s="1" t="s">
        <v>30</v>
      </c>
      <c r="B62" s="1">
        <v>2014</v>
      </c>
      <c r="C62" s="1" t="s">
        <v>42</v>
      </c>
      <c r="D62" s="1">
        <v>122.3</v>
      </c>
      <c r="E62" s="1">
        <v>122.4</v>
      </c>
      <c r="F62" s="1">
        <v>117.8</v>
      </c>
      <c r="G62" s="1">
        <v>122.7</v>
      </c>
      <c r="H62" s="1">
        <v>110.4</v>
      </c>
      <c r="I62" s="1">
        <v>129.80000000000001</v>
      </c>
      <c r="J62" s="1">
        <v>158.80000000000001</v>
      </c>
      <c r="K62" s="1">
        <v>115</v>
      </c>
      <c r="L62" s="1">
        <v>104.7</v>
      </c>
      <c r="M62" s="1">
        <v>114.9</v>
      </c>
      <c r="N62" s="1">
        <v>116.5</v>
      </c>
      <c r="O62" s="1">
        <v>122.6</v>
      </c>
      <c r="P62" s="1">
        <v>125.3</v>
      </c>
      <c r="Q62" s="1">
        <v>119.5</v>
      </c>
      <c r="R62" s="1">
        <v>121.7</v>
      </c>
      <c r="S62" s="1">
        <v>119.2</v>
      </c>
      <c r="T62" s="1">
        <v>121.3</v>
      </c>
      <c r="U62" s="1" t="s">
        <v>32</v>
      </c>
      <c r="V62" s="1">
        <v>115.8</v>
      </c>
      <c r="W62" s="1">
        <v>116.7</v>
      </c>
      <c r="X62" s="1">
        <v>114.5</v>
      </c>
      <c r="Y62" s="1">
        <v>112.8</v>
      </c>
      <c r="Z62" s="1">
        <v>112.6</v>
      </c>
      <c r="AA62" s="1">
        <v>116.6</v>
      </c>
      <c r="AB62" s="1">
        <v>109.1</v>
      </c>
      <c r="AC62" s="1">
        <v>113.7</v>
      </c>
      <c r="AD62" s="1">
        <v>120.9</v>
      </c>
    </row>
    <row r="63" spans="1:30" ht="12.5" x14ac:dyDescent="0.25">
      <c r="A63" s="1" t="s">
        <v>33</v>
      </c>
      <c r="B63" s="1">
        <v>2014</v>
      </c>
      <c r="C63" s="1" t="s">
        <v>42</v>
      </c>
      <c r="D63" s="1">
        <v>124.2</v>
      </c>
      <c r="E63" s="1">
        <v>125.4</v>
      </c>
      <c r="F63" s="1">
        <v>116.4</v>
      </c>
      <c r="G63" s="1">
        <v>122.7</v>
      </c>
      <c r="H63" s="1">
        <v>103.5</v>
      </c>
      <c r="I63" s="1">
        <v>124.5</v>
      </c>
      <c r="J63" s="1">
        <v>168.6</v>
      </c>
      <c r="K63" s="1">
        <v>116.9</v>
      </c>
      <c r="L63" s="1">
        <v>101.9</v>
      </c>
      <c r="M63" s="1">
        <v>122.9</v>
      </c>
      <c r="N63" s="1">
        <v>114.8</v>
      </c>
      <c r="O63" s="1">
        <v>125.2</v>
      </c>
      <c r="P63" s="1">
        <v>126.7</v>
      </c>
      <c r="Q63" s="1">
        <v>124.3</v>
      </c>
      <c r="R63" s="1">
        <v>119.2</v>
      </c>
      <c r="S63" s="1">
        <v>114.5</v>
      </c>
      <c r="T63" s="1">
        <v>118.4</v>
      </c>
      <c r="U63" s="1">
        <v>116.1</v>
      </c>
      <c r="V63" s="1">
        <v>111.8</v>
      </c>
      <c r="W63" s="1">
        <v>115.5</v>
      </c>
      <c r="X63" s="1">
        <v>112.3</v>
      </c>
      <c r="Y63" s="1">
        <v>111.2</v>
      </c>
      <c r="Z63" s="1">
        <v>113.4</v>
      </c>
      <c r="AA63" s="1">
        <v>120</v>
      </c>
      <c r="AB63" s="1">
        <v>110</v>
      </c>
      <c r="AC63" s="1">
        <v>113.6</v>
      </c>
      <c r="AD63" s="1">
        <v>119.2</v>
      </c>
    </row>
    <row r="64" spans="1:30" ht="12.5" x14ac:dyDescent="0.25">
      <c r="A64" s="1" t="s">
        <v>34</v>
      </c>
      <c r="B64" s="1">
        <v>2014</v>
      </c>
      <c r="C64" s="1" t="s">
        <v>42</v>
      </c>
      <c r="D64" s="1">
        <v>122.9</v>
      </c>
      <c r="E64" s="1">
        <v>123.5</v>
      </c>
      <c r="F64" s="1">
        <v>117.3</v>
      </c>
      <c r="G64" s="1">
        <v>122.7</v>
      </c>
      <c r="H64" s="1">
        <v>107.9</v>
      </c>
      <c r="I64" s="1">
        <v>127.3</v>
      </c>
      <c r="J64" s="1">
        <v>162.1</v>
      </c>
      <c r="K64" s="1">
        <v>115.6</v>
      </c>
      <c r="L64" s="1">
        <v>103.8</v>
      </c>
      <c r="M64" s="1">
        <v>117.6</v>
      </c>
      <c r="N64" s="1">
        <v>115.8</v>
      </c>
      <c r="O64" s="1">
        <v>123.8</v>
      </c>
      <c r="P64" s="1">
        <v>125.8</v>
      </c>
      <c r="Q64" s="1">
        <v>120.8</v>
      </c>
      <c r="R64" s="1">
        <v>120.7</v>
      </c>
      <c r="S64" s="1">
        <v>117.2</v>
      </c>
      <c r="T64" s="1">
        <v>120.1</v>
      </c>
      <c r="U64" s="1">
        <v>116.1</v>
      </c>
      <c r="V64" s="1">
        <v>114.3</v>
      </c>
      <c r="W64" s="1">
        <v>116.1</v>
      </c>
      <c r="X64" s="1">
        <v>113.7</v>
      </c>
      <c r="Y64" s="1">
        <v>112</v>
      </c>
      <c r="Z64" s="1">
        <v>113.1</v>
      </c>
      <c r="AA64" s="1">
        <v>118.6</v>
      </c>
      <c r="AB64" s="1">
        <v>109.5</v>
      </c>
      <c r="AC64" s="1">
        <v>113.7</v>
      </c>
      <c r="AD64" s="1">
        <v>120.1</v>
      </c>
    </row>
    <row r="65" spans="1:30" ht="12.5" x14ac:dyDescent="0.25">
      <c r="A65" s="1" t="s">
        <v>30</v>
      </c>
      <c r="B65" s="1">
        <v>2014</v>
      </c>
      <c r="C65" s="1" t="s">
        <v>43</v>
      </c>
      <c r="D65" s="1">
        <v>122.6</v>
      </c>
      <c r="E65" s="1">
        <v>122.5</v>
      </c>
      <c r="F65" s="1">
        <v>118.3</v>
      </c>
      <c r="G65" s="1">
        <v>123.2</v>
      </c>
      <c r="H65" s="1">
        <v>110.5</v>
      </c>
      <c r="I65" s="1">
        <v>128.9</v>
      </c>
      <c r="J65" s="1">
        <v>155.30000000000001</v>
      </c>
      <c r="K65" s="1">
        <v>115.5</v>
      </c>
      <c r="L65" s="1">
        <v>104</v>
      </c>
      <c r="M65" s="1">
        <v>115.3</v>
      </c>
      <c r="N65" s="1">
        <v>116.8</v>
      </c>
      <c r="O65" s="1">
        <v>123.2</v>
      </c>
      <c r="P65" s="1">
        <v>125.1</v>
      </c>
      <c r="Q65" s="1">
        <v>120</v>
      </c>
      <c r="R65" s="1">
        <v>122.7</v>
      </c>
      <c r="S65" s="1">
        <v>120.3</v>
      </c>
      <c r="T65" s="1">
        <v>122.3</v>
      </c>
      <c r="U65" s="1" t="s">
        <v>32</v>
      </c>
      <c r="V65" s="1">
        <v>116.4</v>
      </c>
      <c r="W65" s="1">
        <v>117.5</v>
      </c>
      <c r="X65" s="1">
        <v>115.3</v>
      </c>
      <c r="Y65" s="1">
        <v>112.6</v>
      </c>
      <c r="Z65" s="1">
        <v>113</v>
      </c>
      <c r="AA65" s="1">
        <v>116.9</v>
      </c>
      <c r="AB65" s="1">
        <v>109.3</v>
      </c>
      <c r="AC65" s="1">
        <v>114</v>
      </c>
      <c r="AD65" s="1">
        <v>121</v>
      </c>
    </row>
    <row r="66" spans="1:30" ht="12.5" x14ac:dyDescent="0.25">
      <c r="A66" s="1" t="s">
        <v>33</v>
      </c>
      <c r="B66" s="1">
        <v>2014</v>
      </c>
      <c r="C66" s="1" t="s">
        <v>43</v>
      </c>
      <c r="D66" s="1">
        <v>124.6</v>
      </c>
      <c r="E66" s="1">
        <v>126.1</v>
      </c>
      <c r="F66" s="1">
        <v>117.8</v>
      </c>
      <c r="G66" s="1">
        <v>123.1</v>
      </c>
      <c r="H66" s="1">
        <v>103.5</v>
      </c>
      <c r="I66" s="1">
        <v>123.5</v>
      </c>
      <c r="J66" s="1">
        <v>159.6</v>
      </c>
      <c r="K66" s="1">
        <v>117.4</v>
      </c>
      <c r="L66" s="1">
        <v>101.2</v>
      </c>
      <c r="M66" s="1">
        <v>123.8</v>
      </c>
      <c r="N66" s="1">
        <v>115.2</v>
      </c>
      <c r="O66" s="1">
        <v>125.9</v>
      </c>
      <c r="P66" s="1">
        <v>125.8</v>
      </c>
      <c r="Q66" s="1">
        <v>124.3</v>
      </c>
      <c r="R66" s="1">
        <v>119.6</v>
      </c>
      <c r="S66" s="1">
        <v>114.9</v>
      </c>
      <c r="T66" s="1">
        <v>118.9</v>
      </c>
      <c r="U66" s="1">
        <v>116.7</v>
      </c>
      <c r="V66" s="1">
        <v>112</v>
      </c>
      <c r="W66" s="1">
        <v>115.8</v>
      </c>
      <c r="X66" s="1">
        <v>112.6</v>
      </c>
      <c r="Y66" s="1">
        <v>111</v>
      </c>
      <c r="Z66" s="1">
        <v>113.6</v>
      </c>
      <c r="AA66" s="1">
        <v>120.2</v>
      </c>
      <c r="AB66" s="1">
        <v>110.1</v>
      </c>
      <c r="AC66" s="1">
        <v>113.7</v>
      </c>
      <c r="AD66" s="1">
        <v>119.1</v>
      </c>
    </row>
    <row r="67" spans="1:30" ht="12.5" x14ac:dyDescent="0.25">
      <c r="A67" s="1" t="s">
        <v>34</v>
      </c>
      <c r="B67" s="1">
        <v>2014</v>
      </c>
      <c r="C67" s="1" t="s">
        <v>43</v>
      </c>
      <c r="D67" s="1">
        <v>123.2</v>
      </c>
      <c r="E67" s="1">
        <v>123.8</v>
      </c>
      <c r="F67" s="1">
        <v>118.1</v>
      </c>
      <c r="G67" s="1">
        <v>123.2</v>
      </c>
      <c r="H67" s="1">
        <v>107.9</v>
      </c>
      <c r="I67" s="1">
        <v>126.4</v>
      </c>
      <c r="J67" s="1">
        <v>156.80000000000001</v>
      </c>
      <c r="K67" s="1">
        <v>116.1</v>
      </c>
      <c r="L67" s="1">
        <v>103.1</v>
      </c>
      <c r="M67" s="1">
        <v>118.1</v>
      </c>
      <c r="N67" s="1">
        <v>116.1</v>
      </c>
      <c r="O67" s="1">
        <v>124.5</v>
      </c>
      <c r="P67" s="1">
        <v>125.4</v>
      </c>
      <c r="Q67" s="1">
        <v>121.1</v>
      </c>
      <c r="R67" s="1">
        <v>121.5</v>
      </c>
      <c r="S67" s="1">
        <v>118.1</v>
      </c>
      <c r="T67" s="1">
        <v>121</v>
      </c>
      <c r="U67" s="1">
        <v>116.7</v>
      </c>
      <c r="V67" s="1">
        <v>114.7</v>
      </c>
      <c r="W67" s="1">
        <v>116.7</v>
      </c>
      <c r="X67" s="1">
        <v>114.3</v>
      </c>
      <c r="Y67" s="1">
        <v>111.8</v>
      </c>
      <c r="Z67" s="1">
        <v>113.3</v>
      </c>
      <c r="AA67" s="1">
        <v>118.8</v>
      </c>
      <c r="AB67" s="1">
        <v>109.6</v>
      </c>
      <c r="AC67" s="1">
        <v>113.9</v>
      </c>
      <c r="AD67" s="1">
        <v>120.1</v>
      </c>
    </row>
    <row r="68" spans="1:30" ht="12.5" x14ac:dyDescent="0.25">
      <c r="A68" s="1" t="s">
        <v>30</v>
      </c>
      <c r="B68" s="1">
        <v>2014</v>
      </c>
      <c r="C68" s="1" t="s">
        <v>44</v>
      </c>
      <c r="D68" s="1">
        <v>122.7</v>
      </c>
      <c r="E68" s="1">
        <v>122.6</v>
      </c>
      <c r="F68" s="1">
        <v>119.9</v>
      </c>
      <c r="G68" s="1">
        <v>124</v>
      </c>
      <c r="H68" s="1">
        <v>110.5</v>
      </c>
      <c r="I68" s="1">
        <v>128.80000000000001</v>
      </c>
      <c r="J68" s="1">
        <v>152</v>
      </c>
      <c r="K68" s="1">
        <v>116.2</v>
      </c>
      <c r="L68" s="1">
        <v>103.3</v>
      </c>
      <c r="M68" s="1">
        <v>115.8</v>
      </c>
      <c r="N68" s="1">
        <v>116.8</v>
      </c>
      <c r="O68" s="1">
        <v>124.5</v>
      </c>
      <c r="P68" s="1">
        <v>124.9</v>
      </c>
      <c r="Q68" s="1">
        <v>120.8</v>
      </c>
      <c r="R68" s="1">
        <v>123.3</v>
      </c>
      <c r="S68" s="1">
        <v>120.5</v>
      </c>
      <c r="T68" s="1">
        <v>122.9</v>
      </c>
      <c r="U68" s="1" t="s">
        <v>32</v>
      </c>
      <c r="V68" s="1">
        <v>117.3</v>
      </c>
      <c r="W68" s="1">
        <v>118.1</v>
      </c>
      <c r="X68" s="1">
        <v>115.9</v>
      </c>
      <c r="Y68" s="1">
        <v>112</v>
      </c>
      <c r="Z68" s="1">
        <v>113.3</v>
      </c>
      <c r="AA68" s="1">
        <v>117.2</v>
      </c>
      <c r="AB68" s="1">
        <v>108.8</v>
      </c>
      <c r="AC68" s="1">
        <v>114.1</v>
      </c>
      <c r="AD68" s="1">
        <v>121.1</v>
      </c>
    </row>
    <row r="69" spans="1:30" ht="12.5" x14ac:dyDescent="0.25">
      <c r="A69" s="1" t="s">
        <v>33</v>
      </c>
      <c r="B69" s="1">
        <v>2014</v>
      </c>
      <c r="C69" s="1" t="s">
        <v>44</v>
      </c>
      <c r="D69" s="1">
        <v>124.5</v>
      </c>
      <c r="E69" s="1">
        <v>125.6</v>
      </c>
      <c r="F69" s="1">
        <v>122.7</v>
      </c>
      <c r="G69" s="1">
        <v>124.6</v>
      </c>
      <c r="H69" s="1">
        <v>103.2</v>
      </c>
      <c r="I69" s="1">
        <v>122.2</v>
      </c>
      <c r="J69" s="1">
        <v>153.19999999999999</v>
      </c>
      <c r="K69" s="1">
        <v>119.3</v>
      </c>
      <c r="L69" s="1">
        <v>99.8</v>
      </c>
      <c r="M69" s="1">
        <v>124.6</v>
      </c>
      <c r="N69" s="1">
        <v>115.8</v>
      </c>
      <c r="O69" s="1">
        <v>126.9</v>
      </c>
      <c r="P69" s="1">
        <v>125.4</v>
      </c>
      <c r="Q69" s="1">
        <v>125.8</v>
      </c>
      <c r="R69" s="1">
        <v>120.3</v>
      </c>
      <c r="S69" s="1">
        <v>115.4</v>
      </c>
      <c r="T69" s="1">
        <v>119.5</v>
      </c>
      <c r="U69" s="1">
        <v>117.1</v>
      </c>
      <c r="V69" s="1">
        <v>112.6</v>
      </c>
      <c r="W69" s="1">
        <v>116.4</v>
      </c>
      <c r="X69" s="1">
        <v>113</v>
      </c>
      <c r="Y69" s="1">
        <v>109.7</v>
      </c>
      <c r="Z69" s="1">
        <v>114</v>
      </c>
      <c r="AA69" s="1">
        <v>120.3</v>
      </c>
      <c r="AB69" s="1">
        <v>109.6</v>
      </c>
      <c r="AC69" s="1">
        <v>113.4</v>
      </c>
      <c r="AD69" s="1">
        <v>119</v>
      </c>
    </row>
    <row r="70" spans="1:30" ht="12.5" x14ac:dyDescent="0.25">
      <c r="A70" s="1" t="s">
        <v>34</v>
      </c>
      <c r="B70" s="1">
        <v>2014</v>
      </c>
      <c r="C70" s="1" t="s">
        <v>44</v>
      </c>
      <c r="D70" s="1">
        <v>123.3</v>
      </c>
      <c r="E70" s="1">
        <v>123.7</v>
      </c>
      <c r="F70" s="1">
        <v>121</v>
      </c>
      <c r="G70" s="1">
        <v>124.2</v>
      </c>
      <c r="H70" s="1">
        <v>107.8</v>
      </c>
      <c r="I70" s="1">
        <v>125.7</v>
      </c>
      <c r="J70" s="1">
        <v>152.4</v>
      </c>
      <c r="K70" s="1">
        <v>117.2</v>
      </c>
      <c r="L70" s="1">
        <v>102.1</v>
      </c>
      <c r="M70" s="1">
        <v>118.7</v>
      </c>
      <c r="N70" s="1">
        <v>116.4</v>
      </c>
      <c r="O70" s="1">
        <v>125.6</v>
      </c>
      <c r="P70" s="1">
        <v>125.1</v>
      </c>
      <c r="Q70" s="1">
        <v>122.1</v>
      </c>
      <c r="R70" s="1">
        <v>122.1</v>
      </c>
      <c r="S70" s="1">
        <v>118.4</v>
      </c>
      <c r="T70" s="1">
        <v>121.6</v>
      </c>
      <c r="U70" s="1">
        <v>117.1</v>
      </c>
      <c r="V70" s="1">
        <v>115.5</v>
      </c>
      <c r="W70" s="1">
        <v>117.3</v>
      </c>
      <c r="X70" s="1">
        <v>114.8</v>
      </c>
      <c r="Y70" s="1">
        <v>110.8</v>
      </c>
      <c r="Z70" s="1">
        <v>113.7</v>
      </c>
      <c r="AA70" s="1">
        <v>119</v>
      </c>
      <c r="AB70" s="1">
        <v>109.1</v>
      </c>
      <c r="AC70" s="1">
        <v>113.8</v>
      </c>
      <c r="AD70" s="1">
        <v>120.1</v>
      </c>
    </row>
    <row r="71" spans="1:30" ht="12.5" x14ac:dyDescent="0.25">
      <c r="A71" s="1" t="s">
        <v>30</v>
      </c>
      <c r="B71" s="1">
        <v>2014</v>
      </c>
      <c r="C71" s="1" t="s">
        <v>45</v>
      </c>
      <c r="D71" s="1">
        <v>122.4</v>
      </c>
      <c r="E71" s="1">
        <v>122.4</v>
      </c>
      <c r="F71" s="1">
        <v>121.8</v>
      </c>
      <c r="G71" s="1">
        <v>124.2</v>
      </c>
      <c r="H71" s="1">
        <v>110.2</v>
      </c>
      <c r="I71" s="1">
        <v>128.6</v>
      </c>
      <c r="J71" s="1">
        <v>140.30000000000001</v>
      </c>
      <c r="K71" s="1">
        <v>116.3</v>
      </c>
      <c r="L71" s="1">
        <v>102</v>
      </c>
      <c r="M71" s="1">
        <v>116</v>
      </c>
      <c r="N71" s="1">
        <v>117.3</v>
      </c>
      <c r="O71" s="1">
        <v>124.8</v>
      </c>
      <c r="P71" s="1">
        <v>123.3</v>
      </c>
      <c r="Q71" s="1">
        <v>121.7</v>
      </c>
      <c r="R71" s="1">
        <v>123.8</v>
      </c>
      <c r="S71" s="1">
        <v>120.6</v>
      </c>
      <c r="T71" s="1">
        <v>123.3</v>
      </c>
      <c r="U71" s="1" t="s">
        <v>32</v>
      </c>
      <c r="V71" s="1">
        <v>117.4</v>
      </c>
      <c r="W71" s="1">
        <v>118.2</v>
      </c>
      <c r="X71" s="1">
        <v>116.2</v>
      </c>
      <c r="Y71" s="1">
        <v>111.5</v>
      </c>
      <c r="Z71" s="1">
        <v>113.3</v>
      </c>
      <c r="AA71" s="1">
        <v>117.7</v>
      </c>
      <c r="AB71" s="1">
        <v>109.4</v>
      </c>
      <c r="AC71" s="1">
        <v>114.2</v>
      </c>
      <c r="AD71" s="1">
        <v>120.3</v>
      </c>
    </row>
    <row r="72" spans="1:30" ht="12.5" x14ac:dyDescent="0.25">
      <c r="A72" s="1" t="s">
        <v>33</v>
      </c>
      <c r="B72" s="1">
        <v>2014</v>
      </c>
      <c r="C72" s="1" t="s">
        <v>45</v>
      </c>
      <c r="D72" s="1">
        <v>124</v>
      </c>
      <c r="E72" s="1">
        <v>124.7</v>
      </c>
      <c r="F72" s="1">
        <v>126.3</v>
      </c>
      <c r="G72" s="1">
        <v>124.9</v>
      </c>
      <c r="H72" s="1">
        <v>103</v>
      </c>
      <c r="I72" s="1">
        <v>122.3</v>
      </c>
      <c r="J72" s="1">
        <v>141</v>
      </c>
      <c r="K72" s="1">
        <v>120.1</v>
      </c>
      <c r="L72" s="1">
        <v>97.8</v>
      </c>
      <c r="M72" s="1">
        <v>125.4</v>
      </c>
      <c r="N72" s="1">
        <v>116.1</v>
      </c>
      <c r="O72" s="1">
        <v>127.6</v>
      </c>
      <c r="P72" s="1">
        <v>124</v>
      </c>
      <c r="Q72" s="1">
        <v>126.4</v>
      </c>
      <c r="R72" s="1">
        <v>120.7</v>
      </c>
      <c r="S72" s="1">
        <v>115.8</v>
      </c>
      <c r="T72" s="1">
        <v>120</v>
      </c>
      <c r="U72" s="1">
        <v>116.5</v>
      </c>
      <c r="V72" s="1">
        <v>113</v>
      </c>
      <c r="W72" s="1">
        <v>116.8</v>
      </c>
      <c r="X72" s="1">
        <v>113.2</v>
      </c>
      <c r="Y72" s="1">
        <v>108.8</v>
      </c>
      <c r="Z72" s="1">
        <v>114.3</v>
      </c>
      <c r="AA72" s="1">
        <v>120.7</v>
      </c>
      <c r="AB72" s="1">
        <v>110.4</v>
      </c>
      <c r="AC72" s="1">
        <v>113.4</v>
      </c>
      <c r="AD72" s="1">
        <v>118.4</v>
      </c>
    </row>
    <row r="73" spans="1:30" ht="12.5" x14ac:dyDescent="0.25">
      <c r="A73" s="1" t="s">
        <v>34</v>
      </c>
      <c r="B73" s="1">
        <v>2014</v>
      </c>
      <c r="C73" s="1" t="s">
        <v>45</v>
      </c>
      <c r="D73" s="1">
        <v>122.9</v>
      </c>
      <c r="E73" s="1">
        <v>123.2</v>
      </c>
      <c r="F73" s="1">
        <v>123.5</v>
      </c>
      <c r="G73" s="1">
        <v>124.5</v>
      </c>
      <c r="H73" s="1">
        <v>107.6</v>
      </c>
      <c r="I73" s="1">
        <v>125.7</v>
      </c>
      <c r="J73" s="1">
        <v>140.5</v>
      </c>
      <c r="K73" s="1">
        <v>117.6</v>
      </c>
      <c r="L73" s="1">
        <v>100.6</v>
      </c>
      <c r="M73" s="1">
        <v>119.1</v>
      </c>
      <c r="N73" s="1">
        <v>116.8</v>
      </c>
      <c r="O73" s="1">
        <v>126.1</v>
      </c>
      <c r="P73" s="1">
        <v>123.6</v>
      </c>
      <c r="Q73" s="1">
        <v>123</v>
      </c>
      <c r="R73" s="1">
        <v>122.6</v>
      </c>
      <c r="S73" s="1">
        <v>118.6</v>
      </c>
      <c r="T73" s="1">
        <v>122</v>
      </c>
      <c r="U73" s="1">
        <v>116.5</v>
      </c>
      <c r="V73" s="1">
        <v>115.7</v>
      </c>
      <c r="W73" s="1">
        <v>117.5</v>
      </c>
      <c r="X73" s="1">
        <v>115.1</v>
      </c>
      <c r="Y73" s="1">
        <v>110.1</v>
      </c>
      <c r="Z73" s="1">
        <v>113.9</v>
      </c>
      <c r="AA73" s="1">
        <v>119.5</v>
      </c>
      <c r="AB73" s="1">
        <v>109.8</v>
      </c>
      <c r="AC73" s="1">
        <v>113.8</v>
      </c>
      <c r="AD73" s="1">
        <v>119.4</v>
      </c>
    </row>
    <row r="74" spans="1:30" ht="12.5" x14ac:dyDescent="0.25">
      <c r="A74" s="1" t="s">
        <v>30</v>
      </c>
      <c r="B74" s="1">
        <v>2015</v>
      </c>
      <c r="C74" s="1" t="s">
        <v>31</v>
      </c>
      <c r="D74" s="1">
        <v>123.1</v>
      </c>
      <c r="E74" s="1">
        <v>123.1</v>
      </c>
      <c r="F74" s="1">
        <v>122.1</v>
      </c>
      <c r="G74" s="1">
        <v>124.9</v>
      </c>
      <c r="H74" s="1">
        <v>111</v>
      </c>
      <c r="I74" s="1">
        <v>130.4</v>
      </c>
      <c r="J74" s="1">
        <v>132.30000000000001</v>
      </c>
      <c r="K74" s="1">
        <v>117.2</v>
      </c>
      <c r="L74" s="1">
        <v>100.5</v>
      </c>
      <c r="M74" s="1">
        <v>117.2</v>
      </c>
      <c r="N74" s="1">
        <v>117.9</v>
      </c>
      <c r="O74" s="1">
        <v>125.6</v>
      </c>
      <c r="P74" s="1">
        <v>122.8</v>
      </c>
      <c r="Q74" s="1">
        <v>122.7</v>
      </c>
      <c r="R74" s="1">
        <v>124.4</v>
      </c>
      <c r="S74" s="1">
        <v>121.6</v>
      </c>
      <c r="T74" s="1">
        <v>124</v>
      </c>
      <c r="U74" s="1" t="s">
        <v>32</v>
      </c>
      <c r="V74" s="1">
        <v>118.4</v>
      </c>
      <c r="W74" s="1">
        <v>118.9</v>
      </c>
      <c r="X74" s="1">
        <v>116.6</v>
      </c>
      <c r="Y74" s="1">
        <v>111</v>
      </c>
      <c r="Z74" s="1">
        <v>114</v>
      </c>
      <c r="AA74" s="1">
        <v>118.2</v>
      </c>
      <c r="AB74" s="1">
        <v>110.2</v>
      </c>
      <c r="AC74" s="1">
        <v>114.5</v>
      </c>
      <c r="AD74" s="1">
        <v>120.3</v>
      </c>
    </row>
    <row r="75" spans="1:30" ht="12.5" x14ac:dyDescent="0.25">
      <c r="A75" s="1" t="s">
        <v>33</v>
      </c>
      <c r="B75" s="1">
        <v>2015</v>
      </c>
      <c r="C75" s="1" t="s">
        <v>31</v>
      </c>
      <c r="D75" s="1">
        <v>124</v>
      </c>
      <c r="E75" s="1">
        <v>125.5</v>
      </c>
      <c r="F75" s="1">
        <v>126.6</v>
      </c>
      <c r="G75" s="1">
        <v>125.2</v>
      </c>
      <c r="H75" s="1">
        <v>104.3</v>
      </c>
      <c r="I75" s="1">
        <v>121.3</v>
      </c>
      <c r="J75" s="1">
        <v>134.4</v>
      </c>
      <c r="K75" s="1">
        <v>122.9</v>
      </c>
      <c r="L75" s="1">
        <v>96.1</v>
      </c>
      <c r="M75" s="1">
        <v>126.6</v>
      </c>
      <c r="N75" s="1">
        <v>116.5</v>
      </c>
      <c r="O75" s="1">
        <v>128</v>
      </c>
      <c r="P75" s="1">
        <v>123.5</v>
      </c>
      <c r="Q75" s="1">
        <v>127.4</v>
      </c>
      <c r="R75" s="1">
        <v>121</v>
      </c>
      <c r="S75" s="1">
        <v>116.1</v>
      </c>
      <c r="T75" s="1">
        <v>120.2</v>
      </c>
      <c r="U75" s="1">
        <v>117.3</v>
      </c>
      <c r="V75" s="1">
        <v>113.4</v>
      </c>
      <c r="W75" s="1">
        <v>117.2</v>
      </c>
      <c r="X75" s="1">
        <v>113.7</v>
      </c>
      <c r="Y75" s="1">
        <v>107.9</v>
      </c>
      <c r="Z75" s="1">
        <v>114.6</v>
      </c>
      <c r="AA75" s="1">
        <v>120.8</v>
      </c>
      <c r="AB75" s="1">
        <v>111.4</v>
      </c>
      <c r="AC75" s="1">
        <v>113.4</v>
      </c>
      <c r="AD75" s="1">
        <v>118.5</v>
      </c>
    </row>
    <row r="76" spans="1:30" ht="12.5" x14ac:dyDescent="0.25">
      <c r="A76" s="1" t="s">
        <v>34</v>
      </c>
      <c r="B76" s="1">
        <v>2015</v>
      </c>
      <c r="C76" s="1" t="s">
        <v>31</v>
      </c>
      <c r="D76" s="1">
        <v>123.4</v>
      </c>
      <c r="E76" s="1">
        <v>123.9</v>
      </c>
      <c r="F76" s="1">
        <v>123.8</v>
      </c>
      <c r="G76" s="1">
        <v>125</v>
      </c>
      <c r="H76" s="1">
        <v>108.5</v>
      </c>
      <c r="I76" s="1">
        <v>126.2</v>
      </c>
      <c r="J76" s="1">
        <v>133</v>
      </c>
      <c r="K76" s="1">
        <v>119.1</v>
      </c>
      <c r="L76" s="1">
        <v>99</v>
      </c>
      <c r="M76" s="1">
        <v>120.3</v>
      </c>
      <c r="N76" s="1">
        <v>117.3</v>
      </c>
      <c r="O76" s="1">
        <v>126.7</v>
      </c>
      <c r="P76" s="1">
        <v>123.1</v>
      </c>
      <c r="Q76" s="1">
        <v>124</v>
      </c>
      <c r="R76" s="1">
        <v>123.1</v>
      </c>
      <c r="S76" s="1">
        <v>119.3</v>
      </c>
      <c r="T76" s="1">
        <v>122.5</v>
      </c>
      <c r="U76" s="1">
        <v>117.3</v>
      </c>
      <c r="V76" s="1">
        <v>116.5</v>
      </c>
      <c r="W76" s="1">
        <v>118.1</v>
      </c>
      <c r="X76" s="1">
        <v>115.5</v>
      </c>
      <c r="Y76" s="1">
        <v>109.4</v>
      </c>
      <c r="Z76" s="1">
        <v>114.3</v>
      </c>
      <c r="AA76" s="1">
        <v>119.7</v>
      </c>
      <c r="AB76" s="1">
        <v>110.7</v>
      </c>
      <c r="AC76" s="1">
        <v>114</v>
      </c>
      <c r="AD76" s="1">
        <v>119.5</v>
      </c>
    </row>
    <row r="77" spans="1:30" ht="12.5" x14ac:dyDescent="0.25">
      <c r="A77" s="1" t="s">
        <v>30</v>
      </c>
      <c r="B77" s="1">
        <v>2015</v>
      </c>
      <c r="C77" s="1" t="s">
        <v>35</v>
      </c>
      <c r="D77" s="1">
        <v>123.4</v>
      </c>
      <c r="E77" s="1">
        <v>124.4</v>
      </c>
      <c r="F77" s="1">
        <v>122.1</v>
      </c>
      <c r="G77" s="1">
        <v>125.8</v>
      </c>
      <c r="H77" s="1">
        <v>111.5</v>
      </c>
      <c r="I77" s="1">
        <v>129.4</v>
      </c>
      <c r="J77" s="1">
        <v>128.19999999999999</v>
      </c>
      <c r="K77" s="1">
        <v>118.8</v>
      </c>
      <c r="L77" s="1">
        <v>100</v>
      </c>
      <c r="M77" s="1">
        <v>118.6</v>
      </c>
      <c r="N77" s="1">
        <v>118.8</v>
      </c>
      <c r="O77" s="1">
        <v>126.8</v>
      </c>
      <c r="P77" s="1">
        <v>122.8</v>
      </c>
      <c r="Q77" s="1">
        <v>124.2</v>
      </c>
      <c r="R77" s="1">
        <v>125.4</v>
      </c>
      <c r="S77" s="1">
        <v>122.7</v>
      </c>
      <c r="T77" s="1">
        <v>125</v>
      </c>
      <c r="U77" s="1" t="s">
        <v>32</v>
      </c>
      <c r="V77" s="1">
        <v>120</v>
      </c>
      <c r="W77" s="1">
        <v>119.6</v>
      </c>
      <c r="X77" s="1">
        <v>117.7</v>
      </c>
      <c r="Y77" s="1">
        <v>110.9</v>
      </c>
      <c r="Z77" s="1">
        <v>114.8</v>
      </c>
      <c r="AA77" s="1">
        <v>118.7</v>
      </c>
      <c r="AB77" s="1">
        <v>110.8</v>
      </c>
      <c r="AC77" s="1">
        <v>115</v>
      </c>
      <c r="AD77" s="1">
        <v>120.6</v>
      </c>
    </row>
    <row r="78" spans="1:30" ht="12.5" x14ac:dyDescent="0.25">
      <c r="A78" s="1" t="s">
        <v>33</v>
      </c>
      <c r="B78" s="1">
        <v>2015</v>
      </c>
      <c r="C78" s="1" t="s">
        <v>35</v>
      </c>
      <c r="D78" s="1">
        <v>124.3</v>
      </c>
      <c r="E78" s="1">
        <v>126.5</v>
      </c>
      <c r="F78" s="1">
        <v>119.5</v>
      </c>
      <c r="G78" s="1">
        <v>125.6</v>
      </c>
      <c r="H78" s="1">
        <v>104.9</v>
      </c>
      <c r="I78" s="1">
        <v>121.6</v>
      </c>
      <c r="J78" s="1">
        <v>131.80000000000001</v>
      </c>
      <c r="K78" s="1">
        <v>125.1</v>
      </c>
      <c r="L78" s="1">
        <v>95</v>
      </c>
      <c r="M78" s="1">
        <v>127.7</v>
      </c>
      <c r="N78" s="1">
        <v>116.8</v>
      </c>
      <c r="O78" s="1">
        <v>128.6</v>
      </c>
      <c r="P78" s="1">
        <v>123.7</v>
      </c>
      <c r="Q78" s="1">
        <v>128.1</v>
      </c>
      <c r="R78" s="1">
        <v>121.3</v>
      </c>
      <c r="S78" s="1">
        <v>116.5</v>
      </c>
      <c r="T78" s="1">
        <v>120.6</v>
      </c>
      <c r="U78" s="1">
        <v>118.1</v>
      </c>
      <c r="V78" s="1">
        <v>114</v>
      </c>
      <c r="W78" s="1">
        <v>117.7</v>
      </c>
      <c r="X78" s="1">
        <v>114.1</v>
      </c>
      <c r="Y78" s="1">
        <v>106.8</v>
      </c>
      <c r="Z78" s="1">
        <v>114.9</v>
      </c>
      <c r="AA78" s="1">
        <v>120.4</v>
      </c>
      <c r="AB78" s="1">
        <v>111.7</v>
      </c>
      <c r="AC78" s="1">
        <v>113.2</v>
      </c>
      <c r="AD78" s="1">
        <v>118.7</v>
      </c>
    </row>
    <row r="79" spans="1:30" ht="12.5" x14ac:dyDescent="0.25">
      <c r="A79" s="1" t="s">
        <v>34</v>
      </c>
      <c r="B79" s="1">
        <v>2015</v>
      </c>
      <c r="C79" s="1" t="s">
        <v>35</v>
      </c>
      <c r="D79" s="1">
        <v>123.7</v>
      </c>
      <c r="E79" s="1">
        <v>125.1</v>
      </c>
      <c r="F79" s="1">
        <v>121.1</v>
      </c>
      <c r="G79" s="1">
        <v>125.7</v>
      </c>
      <c r="H79" s="1">
        <v>109.1</v>
      </c>
      <c r="I79" s="1">
        <v>125.8</v>
      </c>
      <c r="J79" s="1">
        <v>129.4</v>
      </c>
      <c r="K79" s="1">
        <v>120.9</v>
      </c>
      <c r="L79" s="1">
        <v>98.3</v>
      </c>
      <c r="M79" s="1">
        <v>121.6</v>
      </c>
      <c r="N79" s="1">
        <v>118</v>
      </c>
      <c r="O79" s="1">
        <v>127.6</v>
      </c>
      <c r="P79" s="1">
        <v>123.1</v>
      </c>
      <c r="Q79" s="1">
        <v>125.2</v>
      </c>
      <c r="R79" s="1">
        <v>123.8</v>
      </c>
      <c r="S79" s="1">
        <v>120.1</v>
      </c>
      <c r="T79" s="1">
        <v>123.3</v>
      </c>
      <c r="U79" s="1">
        <v>118.1</v>
      </c>
      <c r="V79" s="1">
        <v>117.7</v>
      </c>
      <c r="W79" s="1">
        <v>118.7</v>
      </c>
      <c r="X79" s="1">
        <v>116.3</v>
      </c>
      <c r="Y79" s="1">
        <v>108.7</v>
      </c>
      <c r="Z79" s="1">
        <v>114.9</v>
      </c>
      <c r="AA79" s="1">
        <v>119.7</v>
      </c>
      <c r="AB79" s="1">
        <v>111.2</v>
      </c>
      <c r="AC79" s="1">
        <v>114.1</v>
      </c>
      <c r="AD79" s="1">
        <v>119.7</v>
      </c>
    </row>
    <row r="80" spans="1:30" ht="12.5" x14ac:dyDescent="0.25">
      <c r="A80" s="1" t="s">
        <v>30</v>
      </c>
      <c r="B80" s="1">
        <v>2015</v>
      </c>
      <c r="C80" s="1" t="s">
        <v>36</v>
      </c>
      <c r="D80" s="1">
        <v>123.3</v>
      </c>
      <c r="E80" s="1">
        <v>124.7</v>
      </c>
      <c r="F80" s="1">
        <v>118.9</v>
      </c>
      <c r="G80" s="1">
        <v>126</v>
      </c>
      <c r="H80" s="1">
        <v>111.8</v>
      </c>
      <c r="I80" s="1">
        <v>130.9</v>
      </c>
      <c r="J80" s="1">
        <v>128</v>
      </c>
      <c r="K80" s="1">
        <v>119.9</v>
      </c>
      <c r="L80" s="1">
        <v>98.9</v>
      </c>
      <c r="M80" s="1">
        <v>119.4</v>
      </c>
      <c r="N80" s="1">
        <v>118.9</v>
      </c>
      <c r="O80" s="1">
        <v>127.7</v>
      </c>
      <c r="P80" s="1">
        <v>123.1</v>
      </c>
      <c r="Q80" s="1">
        <v>124.7</v>
      </c>
      <c r="R80" s="1">
        <v>126</v>
      </c>
      <c r="S80" s="1">
        <v>122.9</v>
      </c>
      <c r="T80" s="1">
        <v>125.5</v>
      </c>
      <c r="U80" s="1" t="s">
        <v>32</v>
      </c>
      <c r="V80" s="1">
        <v>120.6</v>
      </c>
      <c r="W80" s="1">
        <v>120.2</v>
      </c>
      <c r="X80" s="1">
        <v>118.2</v>
      </c>
      <c r="Y80" s="1">
        <v>111.6</v>
      </c>
      <c r="Z80" s="1">
        <v>115.5</v>
      </c>
      <c r="AA80" s="1">
        <v>119.4</v>
      </c>
      <c r="AB80" s="1">
        <v>110.8</v>
      </c>
      <c r="AC80" s="1">
        <v>115.5</v>
      </c>
      <c r="AD80" s="1">
        <v>121.1</v>
      </c>
    </row>
    <row r="81" spans="1:30" ht="12.5" x14ac:dyDescent="0.25">
      <c r="A81" s="1" t="s">
        <v>33</v>
      </c>
      <c r="B81" s="1">
        <v>2015</v>
      </c>
      <c r="C81" s="1" t="s">
        <v>36</v>
      </c>
      <c r="D81" s="1">
        <v>124</v>
      </c>
      <c r="E81" s="1">
        <v>126.7</v>
      </c>
      <c r="F81" s="1">
        <v>113.5</v>
      </c>
      <c r="G81" s="1">
        <v>125.9</v>
      </c>
      <c r="H81" s="1">
        <v>104.8</v>
      </c>
      <c r="I81" s="1">
        <v>123.8</v>
      </c>
      <c r="J81" s="1">
        <v>131.4</v>
      </c>
      <c r="K81" s="1">
        <v>127.2</v>
      </c>
      <c r="L81" s="1">
        <v>93.2</v>
      </c>
      <c r="M81" s="1">
        <v>127.4</v>
      </c>
      <c r="N81" s="1">
        <v>117</v>
      </c>
      <c r="O81" s="1">
        <v>129.19999999999999</v>
      </c>
      <c r="P81" s="1">
        <v>123.9</v>
      </c>
      <c r="Q81" s="1">
        <v>128.80000000000001</v>
      </c>
      <c r="R81" s="1">
        <v>121.7</v>
      </c>
      <c r="S81" s="1">
        <v>116.9</v>
      </c>
      <c r="T81" s="1">
        <v>120.9</v>
      </c>
      <c r="U81" s="1">
        <v>118.6</v>
      </c>
      <c r="V81" s="1">
        <v>114.4</v>
      </c>
      <c r="W81" s="1">
        <v>118</v>
      </c>
      <c r="X81" s="1">
        <v>114.3</v>
      </c>
      <c r="Y81" s="1">
        <v>108.4</v>
      </c>
      <c r="Z81" s="1">
        <v>115.4</v>
      </c>
      <c r="AA81" s="1">
        <v>120.6</v>
      </c>
      <c r="AB81" s="1">
        <v>111.3</v>
      </c>
      <c r="AC81" s="1">
        <v>113.8</v>
      </c>
      <c r="AD81" s="1">
        <v>119.1</v>
      </c>
    </row>
    <row r="82" spans="1:30" ht="12.5" x14ac:dyDescent="0.25">
      <c r="A82" s="1" t="s">
        <v>34</v>
      </c>
      <c r="B82" s="1">
        <v>2015</v>
      </c>
      <c r="C82" s="1" t="s">
        <v>36</v>
      </c>
      <c r="D82" s="1">
        <v>123.5</v>
      </c>
      <c r="E82" s="1">
        <v>125.4</v>
      </c>
      <c r="F82" s="1">
        <v>116.8</v>
      </c>
      <c r="G82" s="1">
        <v>126</v>
      </c>
      <c r="H82" s="1">
        <v>109.2</v>
      </c>
      <c r="I82" s="1">
        <v>127.6</v>
      </c>
      <c r="J82" s="1">
        <v>129.19999999999999</v>
      </c>
      <c r="K82" s="1">
        <v>122.4</v>
      </c>
      <c r="L82" s="1">
        <v>97</v>
      </c>
      <c r="M82" s="1">
        <v>122.1</v>
      </c>
      <c r="N82" s="1">
        <v>118.1</v>
      </c>
      <c r="O82" s="1">
        <v>128.4</v>
      </c>
      <c r="P82" s="1">
        <v>123.4</v>
      </c>
      <c r="Q82" s="1">
        <v>125.8</v>
      </c>
      <c r="R82" s="1">
        <v>124.3</v>
      </c>
      <c r="S82" s="1">
        <v>120.4</v>
      </c>
      <c r="T82" s="1">
        <v>123.7</v>
      </c>
      <c r="U82" s="1">
        <v>118.6</v>
      </c>
      <c r="V82" s="1">
        <v>118.3</v>
      </c>
      <c r="W82" s="1">
        <v>119.2</v>
      </c>
      <c r="X82" s="1">
        <v>116.7</v>
      </c>
      <c r="Y82" s="1">
        <v>109.9</v>
      </c>
      <c r="Z82" s="1">
        <v>115.4</v>
      </c>
      <c r="AA82" s="1">
        <v>120.1</v>
      </c>
      <c r="AB82" s="1">
        <v>111</v>
      </c>
      <c r="AC82" s="1">
        <v>114.7</v>
      </c>
      <c r="AD82" s="1">
        <v>120.2</v>
      </c>
    </row>
    <row r="83" spans="1:30" ht="12.5" x14ac:dyDescent="0.25">
      <c r="A83" s="1" t="s">
        <v>30</v>
      </c>
      <c r="B83" s="1">
        <v>2015</v>
      </c>
      <c r="C83" s="1" t="s">
        <v>37</v>
      </c>
      <c r="D83" s="1">
        <v>123.3</v>
      </c>
      <c r="E83" s="1">
        <v>125.5</v>
      </c>
      <c r="F83" s="1">
        <v>117.2</v>
      </c>
      <c r="G83" s="1">
        <v>126.8</v>
      </c>
      <c r="H83" s="1">
        <v>111.9</v>
      </c>
      <c r="I83" s="1">
        <v>134.19999999999999</v>
      </c>
      <c r="J83" s="1">
        <v>127.5</v>
      </c>
      <c r="K83" s="1">
        <v>121.5</v>
      </c>
      <c r="L83" s="1">
        <v>97.8</v>
      </c>
      <c r="M83" s="1">
        <v>119.8</v>
      </c>
      <c r="N83" s="1">
        <v>119.4</v>
      </c>
      <c r="O83" s="1">
        <v>128.69999999999999</v>
      </c>
      <c r="P83" s="1">
        <v>123.6</v>
      </c>
      <c r="Q83" s="1">
        <v>125.7</v>
      </c>
      <c r="R83" s="1">
        <v>126.4</v>
      </c>
      <c r="S83" s="1">
        <v>123.3</v>
      </c>
      <c r="T83" s="1">
        <v>126</v>
      </c>
      <c r="U83" s="1" t="s">
        <v>32</v>
      </c>
      <c r="V83" s="1">
        <v>121.2</v>
      </c>
      <c r="W83" s="1">
        <v>120.9</v>
      </c>
      <c r="X83" s="1">
        <v>118.6</v>
      </c>
      <c r="Y83" s="1">
        <v>111.9</v>
      </c>
      <c r="Z83" s="1">
        <v>116.2</v>
      </c>
      <c r="AA83" s="1">
        <v>119.9</v>
      </c>
      <c r="AB83" s="1">
        <v>111.6</v>
      </c>
      <c r="AC83" s="1">
        <v>116</v>
      </c>
      <c r="AD83" s="1">
        <v>121.5</v>
      </c>
    </row>
    <row r="84" spans="1:30" ht="12.5" x14ac:dyDescent="0.25">
      <c r="A84" s="1" t="s">
        <v>33</v>
      </c>
      <c r="B84" s="1">
        <v>2015</v>
      </c>
      <c r="C84" s="1" t="s">
        <v>37</v>
      </c>
      <c r="D84" s="1">
        <v>123.8</v>
      </c>
      <c r="E84" s="1">
        <v>128.19999999999999</v>
      </c>
      <c r="F84" s="1">
        <v>110</v>
      </c>
      <c r="G84" s="1">
        <v>126.3</v>
      </c>
      <c r="H84" s="1">
        <v>104.5</v>
      </c>
      <c r="I84" s="1">
        <v>130.6</v>
      </c>
      <c r="J84" s="1">
        <v>130.80000000000001</v>
      </c>
      <c r="K84" s="1">
        <v>131.30000000000001</v>
      </c>
      <c r="L84" s="1">
        <v>91.6</v>
      </c>
      <c r="M84" s="1">
        <v>127.7</v>
      </c>
      <c r="N84" s="1">
        <v>117.2</v>
      </c>
      <c r="O84" s="1">
        <v>129.5</v>
      </c>
      <c r="P84" s="1">
        <v>124.6</v>
      </c>
      <c r="Q84" s="1">
        <v>130.1</v>
      </c>
      <c r="R84" s="1">
        <v>122.1</v>
      </c>
      <c r="S84" s="1">
        <v>117.2</v>
      </c>
      <c r="T84" s="1">
        <v>121.3</v>
      </c>
      <c r="U84" s="1">
        <v>119.2</v>
      </c>
      <c r="V84" s="1">
        <v>114.7</v>
      </c>
      <c r="W84" s="1">
        <v>118.4</v>
      </c>
      <c r="X84" s="1">
        <v>114.6</v>
      </c>
      <c r="Y84" s="1">
        <v>108.4</v>
      </c>
      <c r="Z84" s="1">
        <v>115.6</v>
      </c>
      <c r="AA84" s="1">
        <v>121.7</v>
      </c>
      <c r="AB84" s="1">
        <v>111.8</v>
      </c>
      <c r="AC84" s="1">
        <v>114.2</v>
      </c>
      <c r="AD84" s="1">
        <v>119.7</v>
      </c>
    </row>
    <row r="85" spans="1:30" ht="12.5" x14ac:dyDescent="0.25">
      <c r="A85" s="1" t="s">
        <v>34</v>
      </c>
      <c r="B85" s="1">
        <v>2015</v>
      </c>
      <c r="C85" s="1" t="s">
        <v>37</v>
      </c>
      <c r="D85" s="1">
        <v>123.5</v>
      </c>
      <c r="E85" s="1">
        <v>126.4</v>
      </c>
      <c r="F85" s="1">
        <v>114.4</v>
      </c>
      <c r="G85" s="1">
        <v>126.6</v>
      </c>
      <c r="H85" s="1">
        <v>109.2</v>
      </c>
      <c r="I85" s="1">
        <v>132.5</v>
      </c>
      <c r="J85" s="1">
        <v>128.6</v>
      </c>
      <c r="K85" s="1">
        <v>124.8</v>
      </c>
      <c r="L85" s="1">
        <v>95.7</v>
      </c>
      <c r="M85" s="1">
        <v>122.4</v>
      </c>
      <c r="N85" s="1">
        <v>118.5</v>
      </c>
      <c r="O85" s="1">
        <v>129.1</v>
      </c>
      <c r="P85" s="1">
        <v>124</v>
      </c>
      <c r="Q85" s="1">
        <v>126.9</v>
      </c>
      <c r="R85" s="1">
        <v>124.7</v>
      </c>
      <c r="S85" s="1">
        <v>120.8</v>
      </c>
      <c r="T85" s="1">
        <v>124.1</v>
      </c>
      <c r="U85" s="1">
        <v>119.2</v>
      </c>
      <c r="V85" s="1">
        <v>118.7</v>
      </c>
      <c r="W85" s="1">
        <v>119.7</v>
      </c>
      <c r="X85" s="1">
        <v>117.1</v>
      </c>
      <c r="Y85" s="1">
        <v>110.1</v>
      </c>
      <c r="Z85" s="1">
        <v>115.9</v>
      </c>
      <c r="AA85" s="1">
        <v>121</v>
      </c>
      <c r="AB85" s="1">
        <v>111.7</v>
      </c>
      <c r="AC85" s="1">
        <v>115.1</v>
      </c>
      <c r="AD85" s="1">
        <v>120.7</v>
      </c>
    </row>
    <row r="86" spans="1:30" ht="12.5" x14ac:dyDescent="0.25">
      <c r="A86" s="1" t="s">
        <v>30</v>
      </c>
      <c r="B86" s="1">
        <v>2015</v>
      </c>
      <c r="C86" s="1" t="s">
        <v>38</v>
      </c>
      <c r="D86" s="1">
        <v>123.5</v>
      </c>
      <c r="E86" s="1">
        <v>127.1</v>
      </c>
      <c r="F86" s="1">
        <v>117.3</v>
      </c>
      <c r="G86" s="1">
        <v>127.7</v>
      </c>
      <c r="H86" s="1">
        <v>112.5</v>
      </c>
      <c r="I86" s="1">
        <v>134.1</v>
      </c>
      <c r="J86" s="1">
        <v>128.5</v>
      </c>
      <c r="K86" s="1">
        <v>124.3</v>
      </c>
      <c r="L86" s="1">
        <v>97.6</v>
      </c>
      <c r="M86" s="1">
        <v>120.7</v>
      </c>
      <c r="N86" s="1">
        <v>120.2</v>
      </c>
      <c r="O86" s="1">
        <v>129.80000000000001</v>
      </c>
      <c r="P86" s="1">
        <v>124.4</v>
      </c>
      <c r="Q86" s="1">
        <v>126.7</v>
      </c>
      <c r="R86" s="1">
        <v>127.3</v>
      </c>
      <c r="S86" s="1">
        <v>124.1</v>
      </c>
      <c r="T86" s="1">
        <v>126.8</v>
      </c>
      <c r="U86" s="1" t="s">
        <v>32</v>
      </c>
      <c r="V86" s="1">
        <v>121.9</v>
      </c>
      <c r="W86" s="1">
        <v>121.5</v>
      </c>
      <c r="X86" s="1">
        <v>119.4</v>
      </c>
      <c r="Y86" s="1">
        <v>113.3</v>
      </c>
      <c r="Z86" s="1">
        <v>116.7</v>
      </c>
      <c r="AA86" s="1">
        <v>120.5</v>
      </c>
      <c r="AB86" s="1">
        <v>112.3</v>
      </c>
      <c r="AC86" s="1">
        <v>116.9</v>
      </c>
      <c r="AD86" s="1">
        <v>122.4</v>
      </c>
    </row>
    <row r="87" spans="1:30" ht="12.5" x14ac:dyDescent="0.25">
      <c r="A87" s="1" t="s">
        <v>33</v>
      </c>
      <c r="B87" s="1">
        <v>2015</v>
      </c>
      <c r="C87" s="1" t="s">
        <v>38</v>
      </c>
      <c r="D87" s="1">
        <v>123.8</v>
      </c>
      <c r="E87" s="1">
        <v>129.69999999999999</v>
      </c>
      <c r="F87" s="1">
        <v>111.3</v>
      </c>
      <c r="G87" s="1">
        <v>126.6</v>
      </c>
      <c r="H87" s="1">
        <v>105.2</v>
      </c>
      <c r="I87" s="1">
        <v>130.80000000000001</v>
      </c>
      <c r="J87" s="1">
        <v>135.6</v>
      </c>
      <c r="K87" s="1">
        <v>142.6</v>
      </c>
      <c r="L87" s="1">
        <v>90.8</v>
      </c>
      <c r="M87" s="1">
        <v>128.80000000000001</v>
      </c>
      <c r="N87" s="1">
        <v>117.7</v>
      </c>
      <c r="O87" s="1">
        <v>129.9</v>
      </c>
      <c r="P87" s="1">
        <v>126.1</v>
      </c>
      <c r="Q87" s="1">
        <v>131.30000000000001</v>
      </c>
      <c r="R87" s="1">
        <v>122.4</v>
      </c>
      <c r="S87" s="1">
        <v>117.4</v>
      </c>
      <c r="T87" s="1">
        <v>121.6</v>
      </c>
      <c r="U87" s="1">
        <v>119.6</v>
      </c>
      <c r="V87" s="1">
        <v>114.9</v>
      </c>
      <c r="W87" s="1">
        <v>118.7</v>
      </c>
      <c r="X87" s="1">
        <v>114.9</v>
      </c>
      <c r="Y87" s="1">
        <v>110.8</v>
      </c>
      <c r="Z87" s="1">
        <v>116</v>
      </c>
      <c r="AA87" s="1">
        <v>122</v>
      </c>
      <c r="AB87" s="1">
        <v>112.4</v>
      </c>
      <c r="AC87" s="1">
        <v>115.2</v>
      </c>
      <c r="AD87" s="1">
        <v>120.7</v>
      </c>
    </row>
    <row r="88" spans="1:30" ht="12.5" x14ac:dyDescent="0.25">
      <c r="A88" s="1" t="s">
        <v>34</v>
      </c>
      <c r="B88" s="1">
        <v>2015</v>
      </c>
      <c r="C88" s="1" t="s">
        <v>38</v>
      </c>
      <c r="D88" s="1">
        <v>123.6</v>
      </c>
      <c r="E88" s="1">
        <v>128</v>
      </c>
      <c r="F88" s="1">
        <v>115</v>
      </c>
      <c r="G88" s="1">
        <v>127.3</v>
      </c>
      <c r="H88" s="1">
        <v>109.8</v>
      </c>
      <c r="I88" s="1">
        <v>132.6</v>
      </c>
      <c r="J88" s="1">
        <v>130.9</v>
      </c>
      <c r="K88" s="1">
        <v>130.5</v>
      </c>
      <c r="L88" s="1">
        <v>95.3</v>
      </c>
      <c r="M88" s="1">
        <v>123.4</v>
      </c>
      <c r="N88" s="1">
        <v>119.2</v>
      </c>
      <c r="O88" s="1">
        <v>129.80000000000001</v>
      </c>
      <c r="P88" s="1">
        <v>125</v>
      </c>
      <c r="Q88" s="1">
        <v>127.9</v>
      </c>
      <c r="R88" s="1">
        <v>125.4</v>
      </c>
      <c r="S88" s="1">
        <v>121.3</v>
      </c>
      <c r="T88" s="1">
        <v>124.7</v>
      </c>
      <c r="U88" s="1">
        <v>119.6</v>
      </c>
      <c r="V88" s="1">
        <v>119.2</v>
      </c>
      <c r="W88" s="1">
        <v>120.2</v>
      </c>
      <c r="X88" s="1">
        <v>117.7</v>
      </c>
      <c r="Y88" s="1">
        <v>112</v>
      </c>
      <c r="Z88" s="1">
        <v>116.3</v>
      </c>
      <c r="AA88" s="1">
        <v>121.4</v>
      </c>
      <c r="AB88" s="1">
        <v>112.3</v>
      </c>
      <c r="AC88" s="1">
        <v>116.1</v>
      </c>
      <c r="AD88" s="1">
        <v>121.6</v>
      </c>
    </row>
    <row r="89" spans="1:30" ht="12.5" x14ac:dyDescent="0.25">
      <c r="A89" s="1" t="s">
        <v>30</v>
      </c>
      <c r="B89" s="1">
        <v>2015</v>
      </c>
      <c r="C89" s="1" t="s">
        <v>39</v>
      </c>
      <c r="D89" s="1">
        <v>124.1</v>
      </c>
      <c r="E89" s="1">
        <v>130.4</v>
      </c>
      <c r="F89" s="1">
        <v>122.1</v>
      </c>
      <c r="G89" s="1">
        <v>128.69999999999999</v>
      </c>
      <c r="H89" s="1">
        <v>114.1</v>
      </c>
      <c r="I89" s="1">
        <v>133.19999999999999</v>
      </c>
      <c r="J89" s="1">
        <v>135.19999999999999</v>
      </c>
      <c r="K89" s="1">
        <v>131.9</v>
      </c>
      <c r="L89" s="1">
        <v>96.3</v>
      </c>
      <c r="M89" s="1">
        <v>123</v>
      </c>
      <c r="N89" s="1">
        <v>121.1</v>
      </c>
      <c r="O89" s="1">
        <v>131.19999999999999</v>
      </c>
      <c r="P89" s="1">
        <v>126.6</v>
      </c>
      <c r="Q89" s="1">
        <v>128.19999999999999</v>
      </c>
      <c r="R89" s="1">
        <v>128.4</v>
      </c>
      <c r="S89" s="1">
        <v>125.1</v>
      </c>
      <c r="T89" s="1">
        <v>128</v>
      </c>
      <c r="U89" s="1" t="s">
        <v>32</v>
      </c>
      <c r="V89" s="1">
        <v>122.6</v>
      </c>
      <c r="W89" s="1">
        <v>122.8</v>
      </c>
      <c r="X89" s="1">
        <v>120.4</v>
      </c>
      <c r="Y89" s="1">
        <v>114.2</v>
      </c>
      <c r="Z89" s="1">
        <v>117.9</v>
      </c>
      <c r="AA89" s="1">
        <v>122</v>
      </c>
      <c r="AB89" s="1">
        <v>113</v>
      </c>
      <c r="AC89" s="1">
        <v>117.9</v>
      </c>
      <c r="AD89" s="1">
        <v>124.1</v>
      </c>
    </row>
    <row r="90" spans="1:30" ht="12.5" x14ac:dyDescent="0.25">
      <c r="A90" s="1" t="s">
        <v>33</v>
      </c>
      <c r="B90" s="1">
        <v>2015</v>
      </c>
      <c r="C90" s="1" t="s">
        <v>39</v>
      </c>
      <c r="D90" s="1">
        <v>123.6</v>
      </c>
      <c r="E90" s="1">
        <v>134.4</v>
      </c>
      <c r="F90" s="1">
        <v>120.9</v>
      </c>
      <c r="G90" s="1">
        <v>127.3</v>
      </c>
      <c r="H90" s="1">
        <v>106</v>
      </c>
      <c r="I90" s="1">
        <v>132.30000000000001</v>
      </c>
      <c r="J90" s="1">
        <v>146.69999999999999</v>
      </c>
      <c r="K90" s="1">
        <v>148.1</v>
      </c>
      <c r="L90" s="1">
        <v>89.8</v>
      </c>
      <c r="M90" s="1">
        <v>130.5</v>
      </c>
      <c r="N90" s="1">
        <v>118</v>
      </c>
      <c r="O90" s="1">
        <v>130.5</v>
      </c>
      <c r="P90" s="1">
        <v>128.5</v>
      </c>
      <c r="Q90" s="1">
        <v>132.1</v>
      </c>
      <c r="R90" s="1">
        <v>123.2</v>
      </c>
      <c r="S90" s="1">
        <v>117.6</v>
      </c>
      <c r="T90" s="1">
        <v>122.3</v>
      </c>
      <c r="U90" s="1">
        <v>119</v>
      </c>
      <c r="V90" s="1">
        <v>115.1</v>
      </c>
      <c r="W90" s="1">
        <v>119.2</v>
      </c>
      <c r="X90" s="1">
        <v>115.4</v>
      </c>
      <c r="Y90" s="1">
        <v>111.7</v>
      </c>
      <c r="Z90" s="1">
        <v>116.2</v>
      </c>
      <c r="AA90" s="1">
        <v>123.8</v>
      </c>
      <c r="AB90" s="1">
        <v>112.5</v>
      </c>
      <c r="AC90" s="1">
        <v>116</v>
      </c>
      <c r="AD90" s="1">
        <v>121.7</v>
      </c>
    </row>
    <row r="91" spans="1:30" ht="12.5" x14ac:dyDescent="0.25">
      <c r="A91" s="1" t="s">
        <v>34</v>
      </c>
      <c r="B91" s="1">
        <v>2015</v>
      </c>
      <c r="C91" s="1" t="s">
        <v>39</v>
      </c>
      <c r="D91" s="1">
        <v>123.9</v>
      </c>
      <c r="E91" s="1">
        <v>131.80000000000001</v>
      </c>
      <c r="F91" s="1">
        <v>121.6</v>
      </c>
      <c r="G91" s="1">
        <v>128.19999999999999</v>
      </c>
      <c r="H91" s="1">
        <v>111.1</v>
      </c>
      <c r="I91" s="1">
        <v>132.80000000000001</v>
      </c>
      <c r="J91" s="1">
        <v>139.1</v>
      </c>
      <c r="K91" s="1">
        <v>137.4</v>
      </c>
      <c r="L91" s="1">
        <v>94.1</v>
      </c>
      <c r="M91" s="1">
        <v>125.5</v>
      </c>
      <c r="N91" s="1">
        <v>119.8</v>
      </c>
      <c r="O91" s="1">
        <v>130.9</v>
      </c>
      <c r="P91" s="1">
        <v>127.3</v>
      </c>
      <c r="Q91" s="1">
        <v>129.19999999999999</v>
      </c>
      <c r="R91" s="1">
        <v>126.4</v>
      </c>
      <c r="S91" s="1">
        <v>122</v>
      </c>
      <c r="T91" s="1">
        <v>125.7</v>
      </c>
      <c r="U91" s="1">
        <v>119</v>
      </c>
      <c r="V91" s="1">
        <v>119.8</v>
      </c>
      <c r="W91" s="1">
        <v>121.1</v>
      </c>
      <c r="X91" s="1">
        <v>118.5</v>
      </c>
      <c r="Y91" s="1">
        <v>112.9</v>
      </c>
      <c r="Z91" s="1">
        <v>116.9</v>
      </c>
      <c r="AA91" s="1">
        <v>123.1</v>
      </c>
      <c r="AB91" s="1">
        <v>112.8</v>
      </c>
      <c r="AC91" s="1">
        <v>117</v>
      </c>
      <c r="AD91" s="1">
        <v>123</v>
      </c>
    </row>
    <row r="92" spans="1:30" ht="12.5" x14ac:dyDescent="0.25">
      <c r="A92" s="1" t="s">
        <v>30</v>
      </c>
      <c r="B92" s="1">
        <v>2015</v>
      </c>
      <c r="C92" s="1" t="s">
        <v>40</v>
      </c>
      <c r="D92" s="1">
        <v>124</v>
      </c>
      <c r="E92" s="1">
        <v>131.5</v>
      </c>
      <c r="F92" s="1">
        <v>122</v>
      </c>
      <c r="G92" s="1">
        <v>128.69999999999999</v>
      </c>
      <c r="H92" s="1">
        <v>113.5</v>
      </c>
      <c r="I92" s="1">
        <v>133.30000000000001</v>
      </c>
      <c r="J92" s="1">
        <v>140.80000000000001</v>
      </c>
      <c r="K92" s="1">
        <v>133.80000000000001</v>
      </c>
      <c r="L92" s="1">
        <v>94.1</v>
      </c>
      <c r="M92" s="1">
        <v>123.4</v>
      </c>
      <c r="N92" s="1">
        <v>121</v>
      </c>
      <c r="O92" s="1">
        <v>131.69999999999999</v>
      </c>
      <c r="P92" s="1">
        <v>127.5</v>
      </c>
      <c r="Q92" s="1">
        <v>129.4</v>
      </c>
      <c r="R92" s="1">
        <v>128.80000000000001</v>
      </c>
      <c r="S92" s="1">
        <v>125.5</v>
      </c>
      <c r="T92" s="1">
        <v>128.30000000000001</v>
      </c>
      <c r="U92" s="1" t="s">
        <v>32</v>
      </c>
      <c r="V92" s="1">
        <v>123</v>
      </c>
      <c r="W92" s="1">
        <v>123</v>
      </c>
      <c r="X92" s="1">
        <v>120.8</v>
      </c>
      <c r="Y92" s="1">
        <v>114.1</v>
      </c>
      <c r="Z92" s="1">
        <v>118</v>
      </c>
      <c r="AA92" s="1">
        <v>122.9</v>
      </c>
      <c r="AB92" s="1">
        <v>112.7</v>
      </c>
      <c r="AC92" s="1">
        <v>118.1</v>
      </c>
      <c r="AD92" s="1">
        <v>124.7</v>
      </c>
    </row>
    <row r="93" spans="1:30" ht="12.5" x14ac:dyDescent="0.25">
      <c r="A93" s="1" t="s">
        <v>33</v>
      </c>
      <c r="B93" s="1">
        <v>2015</v>
      </c>
      <c r="C93" s="1" t="s">
        <v>40</v>
      </c>
      <c r="D93" s="1">
        <v>123.2</v>
      </c>
      <c r="E93" s="1">
        <v>134.30000000000001</v>
      </c>
      <c r="F93" s="1">
        <v>119.5</v>
      </c>
      <c r="G93" s="1">
        <v>127.7</v>
      </c>
      <c r="H93" s="1">
        <v>106.3</v>
      </c>
      <c r="I93" s="1">
        <v>132.80000000000001</v>
      </c>
      <c r="J93" s="1">
        <v>153.5</v>
      </c>
      <c r="K93" s="1">
        <v>149.5</v>
      </c>
      <c r="L93" s="1">
        <v>85.7</v>
      </c>
      <c r="M93" s="1">
        <v>131.5</v>
      </c>
      <c r="N93" s="1">
        <v>118.3</v>
      </c>
      <c r="O93" s="1">
        <v>131.1</v>
      </c>
      <c r="P93" s="1">
        <v>129.5</v>
      </c>
      <c r="Q93" s="1">
        <v>133.1</v>
      </c>
      <c r="R93" s="1">
        <v>123.5</v>
      </c>
      <c r="S93" s="1">
        <v>117.9</v>
      </c>
      <c r="T93" s="1">
        <v>122.7</v>
      </c>
      <c r="U93" s="1">
        <v>119.9</v>
      </c>
      <c r="V93" s="1">
        <v>115.3</v>
      </c>
      <c r="W93" s="1">
        <v>119.5</v>
      </c>
      <c r="X93" s="1">
        <v>116</v>
      </c>
      <c r="Y93" s="1">
        <v>111.5</v>
      </c>
      <c r="Z93" s="1">
        <v>116.6</v>
      </c>
      <c r="AA93" s="1">
        <v>125.4</v>
      </c>
      <c r="AB93" s="1">
        <v>111.7</v>
      </c>
      <c r="AC93" s="1">
        <v>116.3</v>
      </c>
      <c r="AD93" s="1">
        <v>122.4</v>
      </c>
    </row>
    <row r="94" spans="1:30" ht="12.5" x14ac:dyDescent="0.25">
      <c r="A94" s="1" t="s">
        <v>34</v>
      </c>
      <c r="B94" s="1">
        <v>2015</v>
      </c>
      <c r="C94" s="1" t="s">
        <v>40</v>
      </c>
      <c r="D94" s="1">
        <v>123.7</v>
      </c>
      <c r="E94" s="1">
        <v>132.5</v>
      </c>
      <c r="F94" s="1">
        <v>121</v>
      </c>
      <c r="G94" s="1">
        <v>128.30000000000001</v>
      </c>
      <c r="H94" s="1">
        <v>110.9</v>
      </c>
      <c r="I94" s="1">
        <v>133.1</v>
      </c>
      <c r="J94" s="1">
        <v>145.1</v>
      </c>
      <c r="K94" s="1">
        <v>139.1</v>
      </c>
      <c r="L94" s="1">
        <v>91.3</v>
      </c>
      <c r="M94" s="1">
        <v>126.1</v>
      </c>
      <c r="N94" s="1">
        <v>119.9</v>
      </c>
      <c r="O94" s="1">
        <v>131.4</v>
      </c>
      <c r="P94" s="1">
        <v>128.19999999999999</v>
      </c>
      <c r="Q94" s="1">
        <v>130.4</v>
      </c>
      <c r="R94" s="1">
        <v>126.7</v>
      </c>
      <c r="S94" s="1">
        <v>122.3</v>
      </c>
      <c r="T94" s="1">
        <v>126.1</v>
      </c>
      <c r="U94" s="1">
        <v>119.9</v>
      </c>
      <c r="V94" s="1">
        <v>120.1</v>
      </c>
      <c r="W94" s="1">
        <v>121.3</v>
      </c>
      <c r="X94" s="1">
        <v>119</v>
      </c>
      <c r="Y94" s="1">
        <v>112.7</v>
      </c>
      <c r="Z94" s="1">
        <v>117.2</v>
      </c>
      <c r="AA94" s="1">
        <v>124.4</v>
      </c>
      <c r="AB94" s="1">
        <v>112.3</v>
      </c>
      <c r="AC94" s="1">
        <v>117.2</v>
      </c>
      <c r="AD94" s="1">
        <v>123.6</v>
      </c>
    </row>
    <row r="95" spans="1:30" ht="12.5" x14ac:dyDescent="0.25">
      <c r="A95" s="1" t="s">
        <v>30</v>
      </c>
      <c r="B95" s="1">
        <v>2015</v>
      </c>
      <c r="C95" s="1" t="s">
        <v>41</v>
      </c>
      <c r="D95" s="1">
        <v>124.7</v>
      </c>
      <c r="E95" s="1">
        <v>131.30000000000001</v>
      </c>
      <c r="F95" s="1">
        <v>121.3</v>
      </c>
      <c r="G95" s="1">
        <v>128.80000000000001</v>
      </c>
      <c r="H95" s="1">
        <v>114</v>
      </c>
      <c r="I95" s="1">
        <v>134.19999999999999</v>
      </c>
      <c r="J95" s="1">
        <v>153.6</v>
      </c>
      <c r="K95" s="1">
        <v>137.9</v>
      </c>
      <c r="L95" s="1">
        <v>93.1</v>
      </c>
      <c r="M95" s="1">
        <v>123.9</v>
      </c>
      <c r="N95" s="1">
        <v>121.5</v>
      </c>
      <c r="O95" s="1">
        <v>132.5</v>
      </c>
      <c r="P95" s="1">
        <v>129.80000000000001</v>
      </c>
      <c r="Q95" s="1">
        <v>130.1</v>
      </c>
      <c r="R95" s="1">
        <v>129.5</v>
      </c>
      <c r="S95" s="1">
        <v>126.3</v>
      </c>
      <c r="T95" s="1">
        <v>129</v>
      </c>
      <c r="U95" s="1" t="s">
        <v>32</v>
      </c>
      <c r="V95" s="1">
        <v>123.8</v>
      </c>
      <c r="W95" s="1">
        <v>123.7</v>
      </c>
      <c r="X95" s="1">
        <v>121.1</v>
      </c>
      <c r="Y95" s="1">
        <v>113.6</v>
      </c>
      <c r="Z95" s="1">
        <v>118.5</v>
      </c>
      <c r="AA95" s="1">
        <v>123.6</v>
      </c>
      <c r="AB95" s="1">
        <v>112.5</v>
      </c>
      <c r="AC95" s="1">
        <v>118.2</v>
      </c>
      <c r="AD95" s="1">
        <v>126.1</v>
      </c>
    </row>
    <row r="96" spans="1:30" ht="12.5" x14ac:dyDescent="0.25">
      <c r="A96" s="1" t="s">
        <v>33</v>
      </c>
      <c r="B96" s="1">
        <v>2015</v>
      </c>
      <c r="C96" s="1" t="s">
        <v>41</v>
      </c>
      <c r="D96" s="1">
        <v>123.1</v>
      </c>
      <c r="E96" s="1">
        <v>131.69999999999999</v>
      </c>
      <c r="F96" s="1">
        <v>118.1</v>
      </c>
      <c r="G96" s="1">
        <v>128</v>
      </c>
      <c r="H96" s="1">
        <v>106.8</v>
      </c>
      <c r="I96" s="1">
        <v>130.1</v>
      </c>
      <c r="J96" s="1">
        <v>165.5</v>
      </c>
      <c r="K96" s="1">
        <v>156</v>
      </c>
      <c r="L96" s="1">
        <v>85.3</v>
      </c>
      <c r="M96" s="1">
        <v>132.69999999999999</v>
      </c>
      <c r="N96" s="1">
        <v>118.8</v>
      </c>
      <c r="O96" s="1">
        <v>131.69999999999999</v>
      </c>
      <c r="P96" s="1">
        <v>131.1</v>
      </c>
      <c r="Q96" s="1">
        <v>134.19999999999999</v>
      </c>
      <c r="R96" s="1">
        <v>123.7</v>
      </c>
      <c r="S96" s="1">
        <v>118.2</v>
      </c>
      <c r="T96" s="1">
        <v>122.9</v>
      </c>
      <c r="U96" s="1">
        <v>120.9</v>
      </c>
      <c r="V96" s="1">
        <v>115.3</v>
      </c>
      <c r="W96" s="1">
        <v>120</v>
      </c>
      <c r="X96" s="1">
        <v>116.6</v>
      </c>
      <c r="Y96" s="1">
        <v>109.9</v>
      </c>
      <c r="Z96" s="1">
        <v>117.2</v>
      </c>
      <c r="AA96" s="1">
        <v>126.2</v>
      </c>
      <c r="AB96" s="1">
        <v>112</v>
      </c>
      <c r="AC96" s="1">
        <v>116.2</v>
      </c>
      <c r="AD96" s="1">
        <v>123.2</v>
      </c>
    </row>
    <row r="97" spans="1:30" ht="12.5" x14ac:dyDescent="0.25">
      <c r="A97" s="1" t="s">
        <v>34</v>
      </c>
      <c r="B97" s="1">
        <v>2015</v>
      </c>
      <c r="C97" s="1" t="s">
        <v>41</v>
      </c>
      <c r="D97" s="1">
        <v>124.2</v>
      </c>
      <c r="E97" s="1">
        <v>131.4</v>
      </c>
      <c r="F97" s="1">
        <v>120.1</v>
      </c>
      <c r="G97" s="1">
        <v>128.5</v>
      </c>
      <c r="H97" s="1">
        <v>111.4</v>
      </c>
      <c r="I97" s="1">
        <v>132.30000000000001</v>
      </c>
      <c r="J97" s="1">
        <v>157.6</v>
      </c>
      <c r="K97" s="1">
        <v>144</v>
      </c>
      <c r="L97" s="1">
        <v>90.5</v>
      </c>
      <c r="M97" s="1">
        <v>126.8</v>
      </c>
      <c r="N97" s="1">
        <v>120.4</v>
      </c>
      <c r="O97" s="1">
        <v>132.1</v>
      </c>
      <c r="P97" s="1">
        <v>130.30000000000001</v>
      </c>
      <c r="Q97" s="1">
        <v>131.19999999999999</v>
      </c>
      <c r="R97" s="1">
        <v>127.2</v>
      </c>
      <c r="S97" s="1">
        <v>122.9</v>
      </c>
      <c r="T97" s="1">
        <v>126.6</v>
      </c>
      <c r="U97" s="1">
        <v>120.9</v>
      </c>
      <c r="V97" s="1">
        <v>120.6</v>
      </c>
      <c r="W97" s="1">
        <v>122</v>
      </c>
      <c r="X97" s="1">
        <v>119.4</v>
      </c>
      <c r="Y97" s="1">
        <v>111.7</v>
      </c>
      <c r="Z97" s="1">
        <v>117.8</v>
      </c>
      <c r="AA97" s="1">
        <v>125.1</v>
      </c>
      <c r="AB97" s="1">
        <v>112.3</v>
      </c>
      <c r="AC97" s="1">
        <v>117.2</v>
      </c>
      <c r="AD97" s="1">
        <v>124.8</v>
      </c>
    </row>
    <row r="98" spans="1:30" ht="12.5" x14ac:dyDescent="0.25">
      <c r="A98" s="1" t="s">
        <v>30</v>
      </c>
      <c r="B98" s="1">
        <v>2015</v>
      </c>
      <c r="C98" s="1" t="s">
        <v>42</v>
      </c>
      <c r="D98" s="1">
        <v>125.1</v>
      </c>
      <c r="E98" s="1">
        <v>131.1</v>
      </c>
      <c r="F98" s="1">
        <v>120.7</v>
      </c>
      <c r="G98" s="1">
        <v>129.19999999999999</v>
      </c>
      <c r="H98" s="1">
        <v>114.7</v>
      </c>
      <c r="I98" s="1">
        <v>132.30000000000001</v>
      </c>
      <c r="J98" s="1">
        <v>158.9</v>
      </c>
      <c r="K98" s="1">
        <v>142.1</v>
      </c>
      <c r="L98" s="1">
        <v>92.5</v>
      </c>
      <c r="M98" s="1">
        <v>125.4</v>
      </c>
      <c r="N98" s="1">
        <v>121.9</v>
      </c>
      <c r="O98" s="1">
        <v>132.69999999999999</v>
      </c>
      <c r="P98" s="1">
        <v>131</v>
      </c>
      <c r="Q98" s="1">
        <v>131</v>
      </c>
      <c r="R98" s="1">
        <v>130.4</v>
      </c>
      <c r="S98" s="1">
        <v>126.8</v>
      </c>
      <c r="T98" s="1">
        <v>129.9</v>
      </c>
      <c r="U98" s="1" t="s">
        <v>32</v>
      </c>
      <c r="V98" s="1">
        <v>123.7</v>
      </c>
      <c r="W98" s="1">
        <v>124.5</v>
      </c>
      <c r="X98" s="1">
        <v>121.4</v>
      </c>
      <c r="Y98" s="1">
        <v>113.8</v>
      </c>
      <c r="Z98" s="1">
        <v>119.6</v>
      </c>
      <c r="AA98" s="1">
        <v>124.5</v>
      </c>
      <c r="AB98" s="1">
        <v>113.7</v>
      </c>
      <c r="AC98" s="1">
        <v>118.8</v>
      </c>
      <c r="AD98" s="1">
        <v>127</v>
      </c>
    </row>
    <row r="99" spans="1:30" ht="12.5" x14ac:dyDescent="0.25">
      <c r="A99" s="1" t="s">
        <v>33</v>
      </c>
      <c r="B99" s="1">
        <v>2015</v>
      </c>
      <c r="C99" s="1" t="s">
        <v>42</v>
      </c>
      <c r="D99" s="1">
        <v>123.4</v>
      </c>
      <c r="E99" s="1">
        <v>129</v>
      </c>
      <c r="F99" s="1">
        <v>115.6</v>
      </c>
      <c r="G99" s="1">
        <v>128.30000000000001</v>
      </c>
      <c r="H99" s="1">
        <v>107</v>
      </c>
      <c r="I99" s="1">
        <v>124</v>
      </c>
      <c r="J99" s="1">
        <v>168.5</v>
      </c>
      <c r="K99" s="1">
        <v>165.4</v>
      </c>
      <c r="L99" s="1">
        <v>86.3</v>
      </c>
      <c r="M99" s="1">
        <v>134.4</v>
      </c>
      <c r="N99" s="1">
        <v>119.1</v>
      </c>
      <c r="O99" s="1">
        <v>132.30000000000001</v>
      </c>
      <c r="P99" s="1">
        <v>131.5</v>
      </c>
      <c r="Q99" s="1">
        <v>134.69999999999999</v>
      </c>
      <c r="R99" s="1">
        <v>124</v>
      </c>
      <c r="S99" s="1">
        <v>118.6</v>
      </c>
      <c r="T99" s="1">
        <v>123.2</v>
      </c>
      <c r="U99" s="1">
        <v>121.6</v>
      </c>
      <c r="V99" s="1">
        <v>115.1</v>
      </c>
      <c r="W99" s="1">
        <v>120.4</v>
      </c>
      <c r="X99" s="1">
        <v>117.1</v>
      </c>
      <c r="Y99" s="1">
        <v>109.1</v>
      </c>
      <c r="Z99" s="1">
        <v>117.3</v>
      </c>
      <c r="AA99" s="1">
        <v>126.5</v>
      </c>
      <c r="AB99" s="1">
        <v>112.9</v>
      </c>
      <c r="AC99" s="1">
        <v>116.2</v>
      </c>
      <c r="AD99" s="1">
        <v>123.5</v>
      </c>
    </row>
    <row r="100" spans="1:30" ht="12.5" x14ac:dyDescent="0.25">
      <c r="A100" s="1" t="s">
        <v>34</v>
      </c>
      <c r="B100" s="1">
        <v>2015</v>
      </c>
      <c r="C100" s="1" t="s">
        <v>42</v>
      </c>
      <c r="D100" s="1">
        <v>124.6</v>
      </c>
      <c r="E100" s="1">
        <v>130.4</v>
      </c>
      <c r="F100" s="1">
        <v>118.7</v>
      </c>
      <c r="G100" s="1">
        <v>128.9</v>
      </c>
      <c r="H100" s="1">
        <v>111.9</v>
      </c>
      <c r="I100" s="1">
        <v>128.4</v>
      </c>
      <c r="J100" s="1">
        <v>162.19999999999999</v>
      </c>
      <c r="K100" s="1">
        <v>150</v>
      </c>
      <c r="L100" s="1">
        <v>90.4</v>
      </c>
      <c r="M100" s="1">
        <v>128.4</v>
      </c>
      <c r="N100" s="1">
        <v>120.7</v>
      </c>
      <c r="O100" s="1">
        <v>132.5</v>
      </c>
      <c r="P100" s="1">
        <v>131.19999999999999</v>
      </c>
      <c r="Q100" s="1">
        <v>132</v>
      </c>
      <c r="R100" s="1">
        <v>127.9</v>
      </c>
      <c r="S100" s="1">
        <v>123.4</v>
      </c>
      <c r="T100" s="1">
        <v>127.2</v>
      </c>
      <c r="U100" s="1">
        <v>121.6</v>
      </c>
      <c r="V100" s="1">
        <v>120.4</v>
      </c>
      <c r="W100" s="1">
        <v>122.6</v>
      </c>
      <c r="X100" s="1">
        <v>119.8</v>
      </c>
      <c r="Y100" s="1">
        <v>111.3</v>
      </c>
      <c r="Z100" s="1">
        <v>118.3</v>
      </c>
      <c r="AA100" s="1">
        <v>125.7</v>
      </c>
      <c r="AB100" s="1">
        <v>113.4</v>
      </c>
      <c r="AC100" s="1">
        <v>117.5</v>
      </c>
      <c r="AD100" s="1">
        <v>125.4</v>
      </c>
    </row>
    <row r="101" spans="1:30" ht="12.5" x14ac:dyDescent="0.25">
      <c r="A101" s="1" t="s">
        <v>30</v>
      </c>
      <c r="B101" s="1">
        <v>2015</v>
      </c>
      <c r="C101" s="1" t="s">
        <v>43</v>
      </c>
      <c r="D101" s="1">
        <v>125.6</v>
      </c>
      <c r="E101" s="1">
        <v>130.4</v>
      </c>
      <c r="F101" s="1">
        <v>120.8</v>
      </c>
      <c r="G101" s="1">
        <v>129.4</v>
      </c>
      <c r="H101" s="1">
        <v>115.8</v>
      </c>
      <c r="I101" s="1">
        <v>133.19999999999999</v>
      </c>
      <c r="J101" s="1">
        <v>157.69999999999999</v>
      </c>
      <c r="K101" s="1">
        <v>154.19999999999999</v>
      </c>
      <c r="L101" s="1">
        <v>93.7</v>
      </c>
      <c r="M101" s="1">
        <v>126.6</v>
      </c>
      <c r="N101" s="1">
        <v>122.3</v>
      </c>
      <c r="O101" s="1">
        <v>133.1</v>
      </c>
      <c r="P101" s="1">
        <v>131.80000000000001</v>
      </c>
      <c r="Q101" s="1">
        <v>131.5</v>
      </c>
      <c r="R101" s="1">
        <v>131.1</v>
      </c>
      <c r="S101" s="1">
        <v>127.3</v>
      </c>
      <c r="T101" s="1">
        <v>130.6</v>
      </c>
      <c r="U101" s="1" t="s">
        <v>32</v>
      </c>
      <c r="V101" s="1">
        <v>124.4</v>
      </c>
      <c r="W101" s="1">
        <v>125.1</v>
      </c>
      <c r="X101" s="1">
        <v>122</v>
      </c>
      <c r="Y101" s="1">
        <v>113.8</v>
      </c>
      <c r="Z101" s="1">
        <v>120.1</v>
      </c>
      <c r="AA101" s="1">
        <v>125.1</v>
      </c>
      <c r="AB101" s="1">
        <v>114.2</v>
      </c>
      <c r="AC101" s="1">
        <v>119.2</v>
      </c>
      <c r="AD101" s="1">
        <v>127.7</v>
      </c>
    </row>
    <row r="102" spans="1:30" ht="12.5" x14ac:dyDescent="0.25">
      <c r="A102" s="1" t="s">
        <v>33</v>
      </c>
      <c r="B102" s="1">
        <v>2015</v>
      </c>
      <c r="C102" s="1" t="s">
        <v>43</v>
      </c>
      <c r="D102" s="1">
        <v>123.6</v>
      </c>
      <c r="E102" s="1">
        <v>128.6</v>
      </c>
      <c r="F102" s="1">
        <v>115.9</v>
      </c>
      <c r="G102" s="1">
        <v>128.5</v>
      </c>
      <c r="H102" s="1">
        <v>109</v>
      </c>
      <c r="I102" s="1">
        <v>124.1</v>
      </c>
      <c r="J102" s="1">
        <v>165.8</v>
      </c>
      <c r="K102" s="1">
        <v>187.2</v>
      </c>
      <c r="L102" s="1">
        <v>89.4</v>
      </c>
      <c r="M102" s="1">
        <v>135.80000000000001</v>
      </c>
      <c r="N102" s="1">
        <v>119.4</v>
      </c>
      <c r="O102" s="1">
        <v>132.9</v>
      </c>
      <c r="P102" s="1">
        <v>132.6</v>
      </c>
      <c r="Q102" s="1">
        <v>135.30000000000001</v>
      </c>
      <c r="R102" s="1">
        <v>124.4</v>
      </c>
      <c r="S102" s="1">
        <v>118.8</v>
      </c>
      <c r="T102" s="1">
        <v>123.6</v>
      </c>
      <c r="U102" s="1">
        <v>122.4</v>
      </c>
      <c r="V102" s="1">
        <v>114.9</v>
      </c>
      <c r="W102" s="1">
        <v>120.7</v>
      </c>
      <c r="X102" s="1">
        <v>117.7</v>
      </c>
      <c r="Y102" s="1">
        <v>109.3</v>
      </c>
      <c r="Z102" s="1">
        <v>117.7</v>
      </c>
      <c r="AA102" s="1">
        <v>126.5</v>
      </c>
      <c r="AB102" s="1">
        <v>113.5</v>
      </c>
      <c r="AC102" s="1">
        <v>116.5</v>
      </c>
      <c r="AD102" s="1">
        <v>124.2</v>
      </c>
    </row>
    <row r="103" spans="1:30" ht="12.5" x14ac:dyDescent="0.25">
      <c r="A103" s="1" t="s">
        <v>34</v>
      </c>
      <c r="B103" s="1">
        <v>2015</v>
      </c>
      <c r="C103" s="1" t="s">
        <v>43</v>
      </c>
      <c r="D103" s="1">
        <v>125</v>
      </c>
      <c r="E103" s="1">
        <v>129.80000000000001</v>
      </c>
      <c r="F103" s="1">
        <v>118.9</v>
      </c>
      <c r="G103" s="1">
        <v>129.1</v>
      </c>
      <c r="H103" s="1">
        <v>113.3</v>
      </c>
      <c r="I103" s="1">
        <v>129</v>
      </c>
      <c r="J103" s="1">
        <v>160.4</v>
      </c>
      <c r="K103" s="1">
        <v>165.3</v>
      </c>
      <c r="L103" s="1">
        <v>92.3</v>
      </c>
      <c r="M103" s="1">
        <v>129.69999999999999</v>
      </c>
      <c r="N103" s="1">
        <v>121.1</v>
      </c>
      <c r="O103" s="1">
        <v>133</v>
      </c>
      <c r="P103" s="1">
        <v>132.1</v>
      </c>
      <c r="Q103" s="1">
        <v>132.5</v>
      </c>
      <c r="R103" s="1">
        <v>128.5</v>
      </c>
      <c r="S103" s="1">
        <v>123.8</v>
      </c>
      <c r="T103" s="1">
        <v>127.8</v>
      </c>
      <c r="U103" s="1">
        <v>122.4</v>
      </c>
      <c r="V103" s="1">
        <v>120.8</v>
      </c>
      <c r="W103" s="1">
        <v>123</v>
      </c>
      <c r="X103" s="1">
        <v>120.4</v>
      </c>
      <c r="Y103" s="1">
        <v>111.4</v>
      </c>
      <c r="Z103" s="1">
        <v>118.7</v>
      </c>
      <c r="AA103" s="1">
        <v>125.9</v>
      </c>
      <c r="AB103" s="1">
        <v>113.9</v>
      </c>
      <c r="AC103" s="1">
        <v>117.9</v>
      </c>
      <c r="AD103" s="1">
        <v>126.1</v>
      </c>
    </row>
    <row r="104" spans="1:30" ht="12.5" x14ac:dyDescent="0.25">
      <c r="A104" s="1" t="s">
        <v>30</v>
      </c>
      <c r="B104" s="1">
        <v>2015</v>
      </c>
      <c r="C104" s="1" t="s">
        <v>44</v>
      </c>
      <c r="D104" s="1">
        <v>126.1</v>
      </c>
      <c r="E104" s="1">
        <v>130.6</v>
      </c>
      <c r="F104" s="1">
        <v>121.7</v>
      </c>
      <c r="G104" s="1">
        <v>129.5</v>
      </c>
      <c r="H104" s="1">
        <v>117.8</v>
      </c>
      <c r="I104" s="1">
        <v>132.1</v>
      </c>
      <c r="J104" s="1">
        <v>155.19999999999999</v>
      </c>
      <c r="K104" s="1">
        <v>160.80000000000001</v>
      </c>
      <c r="L104" s="1">
        <v>94.5</v>
      </c>
      <c r="M104" s="1">
        <v>128.30000000000001</v>
      </c>
      <c r="N104" s="1">
        <v>123.1</v>
      </c>
      <c r="O104" s="1">
        <v>134.19999999999999</v>
      </c>
      <c r="P104" s="1">
        <v>132.4</v>
      </c>
      <c r="Q104" s="1">
        <v>132.19999999999999</v>
      </c>
      <c r="R104" s="1">
        <v>132.1</v>
      </c>
      <c r="S104" s="1">
        <v>128.19999999999999</v>
      </c>
      <c r="T104" s="1">
        <v>131.5</v>
      </c>
      <c r="U104" s="1" t="s">
        <v>32</v>
      </c>
      <c r="V104" s="1">
        <v>125.6</v>
      </c>
      <c r="W104" s="1">
        <v>125.6</v>
      </c>
      <c r="X104" s="1">
        <v>122.6</v>
      </c>
      <c r="Y104" s="1">
        <v>114</v>
      </c>
      <c r="Z104" s="1">
        <v>120.9</v>
      </c>
      <c r="AA104" s="1">
        <v>125.8</v>
      </c>
      <c r="AB104" s="1">
        <v>114.2</v>
      </c>
      <c r="AC104" s="1">
        <v>119.6</v>
      </c>
      <c r="AD104" s="1">
        <v>128.30000000000001</v>
      </c>
    </row>
    <row r="105" spans="1:30" ht="12.5" x14ac:dyDescent="0.25">
      <c r="A105" s="1" t="s">
        <v>33</v>
      </c>
      <c r="B105" s="1">
        <v>2015</v>
      </c>
      <c r="C105" s="1" t="s">
        <v>44</v>
      </c>
      <c r="D105" s="1">
        <v>124</v>
      </c>
      <c r="E105" s="1">
        <v>129.80000000000001</v>
      </c>
      <c r="F105" s="1">
        <v>121.5</v>
      </c>
      <c r="G105" s="1">
        <v>128.6</v>
      </c>
      <c r="H105" s="1">
        <v>110</v>
      </c>
      <c r="I105" s="1">
        <v>123.7</v>
      </c>
      <c r="J105" s="1">
        <v>164.6</v>
      </c>
      <c r="K105" s="1">
        <v>191.6</v>
      </c>
      <c r="L105" s="1">
        <v>90.8</v>
      </c>
      <c r="M105" s="1">
        <v>137.1</v>
      </c>
      <c r="N105" s="1">
        <v>119.8</v>
      </c>
      <c r="O105" s="1">
        <v>133.69999999999999</v>
      </c>
      <c r="P105" s="1">
        <v>133.30000000000001</v>
      </c>
      <c r="Q105" s="1">
        <v>137.6</v>
      </c>
      <c r="R105" s="1">
        <v>125</v>
      </c>
      <c r="S105" s="1">
        <v>119.3</v>
      </c>
      <c r="T105" s="1">
        <v>124.2</v>
      </c>
      <c r="U105" s="1">
        <v>122.9</v>
      </c>
      <c r="V105" s="1">
        <v>115.1</v>
      </c>
      <c r="W105" s="1">
        <v>121</v>
      </c>
      <c r="X105" s="1">
        <v>118.1</v>
      </c>
      <c r="Y105" s="1">
        <v>109.3</v>
      </c>
      <c r="Z105" s="1">
        <v>117.9</v>
      </c>
      <c r="AA105" s="1">
        <v>126.6</v>
      </c>
      <c r="AB105" s="1">
        <v>113.3</v>
      </c>
      <c r="AC105" s="1">
        <v>116.6</v>
      </c>
      <c r="AD105" s="1">
        <v>124.6</v>
      </c>
    </row>
    <row r="106" spans="1:30" ht="12.5" x14ac:dyDescent="0.25">
      <c r="A106" s="1" t="s">
        <v>34</v>
      </c>
      <c r="B106" s="1">
        <v>2015</v>
      </c>
      <c r="C106" s="1" t="s">
        <v>44</v>
      </c>
      <c r="D106" s="1">
        <v>125.4</v>
      </c>
      <c r="E106" s="1">
        <v>130.30000000000001</v>
      </c>
      <c r="F106" s="1">
        <v>121.6</v>
      </c>
      <c r="G106" s="1">
        <v>129.19999999999999</v>
      </c>
      <c r="H106" s="1">
        <v>114.9</v>
      </c>
      <c r="I106" s="1">
        <v>128.19999999999999</v>
      </c>
      <c r="J106" s="1">
        <v>158.4</v>
      </c>
      <c r="K106" s="1">
        <v>171.2</v>
      </c>
      <c r="L106" s="1">
        <v>93.3</v>
      </c>
      <c r="M106" s="1">
        <v>131.19999999999999</v>
      </c>
      <c r="N106" s="1">
        <v>121.7</v>
      </c>
      <c r="O106" s="1">
        <v>134</v>
      </c>
      <c r="P106" s="1">
        <v>132.69999999999999</v>
      </c>
      <c r="Q106" s="1">
        <v>133.6</v>
      </c>
      <c r="R106" s="1">
        <v>129.30000000000001</v>
      </c>
      <c r="S106" s="1">
        <v>124.5</v>
      </c>
      <c r="T106" s="1">
        <v>128.6</v>
      </c>
      <c r="U106" s="1">
        <v>122.9</v>
      </c>
      <c r="V106" s="1">
        <v>121.6</v>
      </c>
      <c r="W106" s="1">
        <v>123.4</v>
      </c>
      <c r="X106" s="1">
        <v>120.9</v>
      </c>
      <c r="Y106" s="1">
        <v>111.5</v>
      </c>
      <c r="Z106" s="1">
        <v>119.2</v>
      </c>
      <c r="AA106" s="1">
        <v>126.3</v>
      </c>
      <c r="AB106" s="1">
        <v>113.8</v>
      </c>
      <c r="AC106" s="1">
        <v>118.1</v>
      </c>
      <c r="AD106" s="1">
        <v>126.6</v>
      </c>
    </row>
    <row r="107" spans="1:30" ht="12.5" x14ac:dyDescent="0.25">
      <c r="A107" s="1" t="s">
        <v>30</v>
      </c>
      <c r="B107" s="1">
        <v>2015</v>
      </c>
      <c r="C107" s="1" t="s">
        <v>45</v>
      </c>
      <c r="D107" s="1">
        <v>126.3</v>
      </c>
      <c r="E107" s="1">
        <v>131.30000000000001</v>
      </c>
      <c r="F107" s="1">
        <v>123.3</v>
      </c>
      <c r="G107" s="1">
        <v>129.80000000000001</v>
      </c>
      <c r="H107" s="1">
        <v>118.3</v>
      </c>
      <c r="I107" s="1">
        <v>131.6</v>
      </c>
      <c r="J107" s="1">
        <v>145.5</v>
      </c>
      <c r="K107" s="1">
        <v>162.1</v>
      </c>
      <c r="L107" s="1">
        <v>95.4</v>
      </c>
      <c r="M107" s="1">
        <v>128.9</v>
      </c>
      <c r="N107" s="1">
        <v>123.3</v>
      </c>
      <c r="O107" s="1">
        <v>135.1</v>
      </c>
      <c r="P107" s="1">
        <v>131.4</v>
      </c>
      <c r="Q107" s="1">
        <v>133.1</v>
      </c>
      <c r="R107" s="1">
        <v>132.5</v>
      </c>
      <c r="S107" s="1">
        <v>128.5</v>
      </c>
      <c r="T107" s="1">
        <v>131.9</v>
      </c>
      <c r="U107" s="1" t="s">
        <v>32</v>
      </c>
      <c r="V107" s="1">
        <v>125.7</v>
      </c>
      <c r="W107" s="1">
        <v>126</v>
      </c>
      <c r="X107" s="1">
        <v>123.1</v>
      </c>
      <c r="Y107" s="1">
        <v>114</v>
      </c>
      <c r="Z107" s="1">
        <v>121.6</v>
      </c>
      <c r="AA107" s="1">
        <v>125.6</v>
      </c>
      <c r="AB107" s="1">
        <v>114.1</v>
      </c>
      <c r="AC107" s="1">
        <v>119.8</v>
      </c>
      <c r="AD107" s="1">
        <v>127.9</v>
      </c>
    </row>
    <row r="108" spans="1:30" ht="12.5" x14ac:dyDescent="0.25">
      <c r="A108" s="1" t="s">
        <v>33</v>
      </c>
      <c r="B108" s="1">
        <v>2015</v>
      </c>
      <c r="C108" s="1" t="s">
        <v>45</v>
      </c>
      <c r="D108" s="1">
        <v>124.3</v>
      </c>
      <c r="E108" s="1">
        <v>131.69999999999999</v>
      </c>
      <c r="F108" s="1">
        <v>127.1</v>
      </c>
      <c r="G108" s="1">
        <v>128.6</v>
      </c>
      <c r="H108" s="1">
        <v>110</v>
      </c>
      <c r="I108" s="1">
        <v>120.8</v>
      </c>
      <c r="J108" s="1">
        <v>149</v>
      </c>
      <c r="K108" s="1">
        <v>190.1</v>
      </c>
      <c r="L108" s="1">
        <v>92.7</v>
      </c>
      <c r="M108" s="1">
        <v>138.6</v>
      </c>
      <c r="N108" s="1">
        <v>120.2</v>
      </c>
      <c r="O108" s="1">
        <v>134.19999999999999</v>
      </c>
      <c r="P108" s="1">
        <v>131.5</v>
      </c>
      <c r="Q108" s="1">
        <v>138.19999999999999</v>
      </c>
      <c r="R108" s="1">
        <v>125.4</v>
      </c>
      <c r="S108" s="1">
        <v>119.5</v>
      </c>
      <c r="T108" s="1">
        <v>124.5</v>
      </c>
      <c r="U108" s="1">
        <v>122.4</v>
      </c>
      <c r="V108" s="1">
        <v>116</v>
      </c>
      <c r="W108" s="1">
        <v>121</v>
      </c>
      <c r="X108" s="1">
        <v>118.6</v>
      </c>
      <c r="Y108" s="1">
        <v>109.3</v>
      </c>
      <c r="Z108" s="1">
        <v>118.1</v>
      </c>
      <c r="AA108" s="1">
        <v>126.6</v>
      </c>
      <c r="AB108" s="1">
        <v>113.2</v>
      </c>
      <c r="AC108" s="1">
        <v>116.7</v>
      </c>
      <c r="AD108" s="1">
        <v>124</v>
      </c>
    </row>
    <row r="109" spans="1:30" ht="12.5" x14ac:dyDescent="0.25">
      <c r="A109" s="1" t="s">
        <v>34</v>
      </c>
      <c r="B109" s="1">
        <v>2015</v>
      </c>
      <c r="C109" s="1" t="s">
        <v>45</v>
      </c>
      <c r="D109" s="1">
        <v>125.7</v>
      </c>
      <c r="E109" s="1">
        <v>131.4</v>
      </c>
      <c r="F109" s="1">
        <v>124.8</v>
      </c>
      <c r="G109" s="1">
        <v>129.4</v>
      </c>
      <c r="H109" s="1">
        <v>115.3</v>
      </c>
      <c r="I109" s="1">
        <v>126.6</v>
      </c>
      <c r="J109" s="1">
        <v>146.69999999999999</v>
      </c>
      <c r="K109" s="1">
        <v>171.5</v>
      </c>
      <c r="L109" s="1">
        <v>94.5</v>
      </c>
      <c r="M109" s="1">
        <v>132.1</v>
      </c>
      <c r="N109" s="1">
        <v>122</v>
      </c>
      <c r="O109" s="1">
        <v>134.69999999999999</v>
      </c>
      <c r="P109" s="1">
        <v>131.4</v>
      </c>
      <c r="Q109" s="1">
        <v>134.5</v>
      </c>
      <c r="R109" s="1">
        <v>129.69999999999999</v>
      </c>
      <c r="S109" s="1">
        <v>124.8</v>
      </c>
      <c r="T109" s="1">
        <v>129</v>
      </c>
      <c r="U109" s="1">
        <v>122.4</v>
      </c>
      <c r="V109" s="1">
        <v>122</v>
      </c>
      <c r="W109" s="1">
        <v>123.6</v>
      </c>
      <c r="X109" s="1">
        <v>121.4</v>
      </c>
      <c r="Y109" s="1">
        <v>111.5</v>
      </c>
      <c r="Z109" s="1">
        <v>119.6</v>
      </c>
      <c r="AA109" s="1">
        <v>126.2</v>
      </c>
      <c r="AB109" s="1">
        <v>113.7</v>
      </c>
      <c r="AC109" s="1">
        <v>118.3</v>
      </c>
      <c r="AD109" s="1">
        <v>126.1</v>
      </c>
    </row>
    <row r="110" spans="1:30" ht="12.5" x14ac:dyDescent="0.25">
      <c r="A110" s="1" t="s">
        <v>30</v>
      </c>
      <c r="B110" s="1">
        <v>2016</v>
      </c>
      <c r="C110" s="1" t="s">
        <v>31</v>
      </c>
      <c r="D110" s="1">
        <v>126.8</v>
      </c>
      <c r="E110" s="1">
        <v>133.19999999999999</v>
      </c>
      <c r="F110" s="1">
        <v>126.5</v>
      </c>
      <c r="G110" s="1">
        <v>130.30000000000001</v>
      </c>
      <c r="H110" s="1">
        <v>118.9</v>
      </c>
      <c r="I110" s="1">
        <v>131.6</v>
      </c>
      <c r="J110" s="1">
        <v>140.1</v>
      </c>
      <c r="K110" s="1">
        <v>163.80000000000001</v>
      </c>
      <c r="L110" s="1">
        <v>97.7</v>
      </c>
      <c r="M110" s="1">
        <v>129.6</v>
      </c>
      <c r="N110" s="1">
        <v>124.3</v>
      </c>
      <c r="O110" s="1">
        <v>135.9</v>
      </c>
      <c r="P110" s="1">
        <v>131.4</v>
      </c>
      <c r="Q110" s="1">
        <v>133.6</v>
      </c>
      <c r="R110" s="1">
        <v>133.19999999999999</v>
      </c>
      <c r="S110" s="1">
        <v>128.9</v>
      </c>
      <c r="T110" s="1">
        <v>132.6</v>
      </c>
      <c r="U110" s="1" t="s">
        <v>32</v>
      </c>
      <c r="V110" s="1">
        <v>126.2</v>
      </c>
      <c r="W110" s="1">
        <v>126.6</v>
      </c>
      <c r="X110" s="1">
        <v>123.7</v>
      </c>
      <c r="Y110" s="1">
        <v>113.6</v>
      </c>
      <c r="Z110" s="1">
        <v>121.4</v>
      </c>
      <c r="AA110" s="1">
        <v>126.2</v>
      </c>
      <c r="AB110" s="1">
        <v>114.9</v>
      </c>
      <c r="AC110" s="1">
        <v>120.1</v>
      </c>
      <c r="AD110" s="1">
        <v>128.1</v>
      </c>
    </row>
    <row r="111" spans="1:30" ht="12.5" x14ac:dyDescent="0.25">
      <c r="A111" s="1" t="s">
        <v>33</v>
      </c>
      <c r="B111" s="1">
        <v>2016</v>
      </c>
      <c r="C111" s="1" t="s">
        <v>31</v>
      </c>
      <c r="D111" s="1">
        <v>124.7</v>
      </c>
      <c r="E111" s="1">
        <v>135.9</v>
      </c>
      <c r="F111" s="1">
        <v>132</v>
      </c>
      <c r="G111" s="1">
        <v>129.19999999999999</v>
      </c>
      <c r="H111" s="1">
        <v>109.7</v>
      </c>
      <c r="I111" s="1">
        <v>119</v>
      </c>
      <c r="J111" s="1">
        <v>144.1</v>
      </c>
      <c r="K111" s="1">
        <v>184.2</v>
      </c>
      <c r="L111" s="1">
        <v>96.7</v>
      </c>
      <c r="M111" s="1">
        <v>139.5</v>
      </c>
      <c r="N111" s="1">
        <v>120.5</v>
      </c>
      <c r="O111" s="1">
        <v>134.69999999999999</v>
      </c>
      <c r="P111" s="1">
        <v>131.19999999999999</v>
      </c>
      <c r="Q111" s="1">
        <v>139.5</v>
      </c>
      <c r="R111" s="1">
        <v>125.8</v>
      </c>
      <c r="S111" s="1">
        <v>119.8</v>
      </c>
      <c r="T111" s="1">
        <v>124.9</v>
      </c>
      <c r="U111" s="1">
        <v>123.4</v>
      </c>
      <c r="V111" s="1">
        <v>116.9</v>
      </c>
      <c r="W111" s="1">
        <v>121.6</v>
      </c>
      <c r="X111" s="1">
        <v>119.1</v>
      </c>
      <c r="Y111" s="1">
        <v>108.9</v>
      </c>
      <c r="Z111" s="1">
        <v>118.5</v>
      </c>
      <c r="AA111" s="1">
        <v>126.4</v>
      </c>
      <c r="AB111" s="1">
        <v>114</v>
      </c>
      <c r="AC111" s="1">
        <v>116.8</v>
      </c>
      <c r="AD111" s="1">
        <v>124.2</v>
      </c>
    </row>
    <row r="112" spans="1:30" ht="12.5" x14ac:dyDescent="0.25">
      <c r="A112" s="1" t="s">
        <v>34</v>
      </c>
      <c r="B112" s="1">
        <v>2016</v>
      </c>
      <c r="C112" s="1" t="s">
        <v>31</v>
      </c>
      <c r="D112" s="1">
        <v>126.1</v>
      </c>
      <c r="E112" s="1">
        <v>134.1</v>
      </c>
      <c r="F112" s="1">
        <v>128.6</v>
      </c>
      <c r="G112" s="1">
        <v>129.9</v>
      </c>
      <c r="H112" s="1">
        <v>115.5</v>
      </c>
      <c r="I112" s="1">
        <v>125.7</v>
      </c>
      <c r="J112" s="1">
        <v>141.5</v>
      </c>
      <c r="K112" s="1">
        <v>170.7</v>
      </c>
      <c r="L112" s="1">
        <v>97.4</v>
      </c>
      <c r="M112" s="1">
        <v>132.9</v>
      </c>
      <c r="N112" s="1">
        <v>122.7</v>
      </c>
      <c r="O112" s="1">
        <v>135.30000000000001</v>
      </c>
      <c r="P112" s="1">
        <v>131.30000000000001</v>
      </c>
      <c r="Q112" s="1">
        <v>135.19999999999999</v>
      </c>
      <c r="R112" s="1">
        <v>130.30000000000001</v>
      </c>
      <c r="S112" s="1">
        <v>125.1</v>
      </c>
      <c r="T112" s="1">
        <v>129.5</v>
      </c>
      <c r="U112" s="1">
        <v>123.4</v>
      </c>
      <c r="V112" s="1">
        <v>122.7</v>
      </c>
      <c r="W112" s="1">
        <v>124.2</v>
      </c>
      <c r="X112" s="1">
        <v>122</v>
      </c>
      <c r="Y112" s="1">
        <v>111.1</v>
      </c>
      <c r="Z112" s="1">
        <v>119.8</v>
      </c>
      <c r="AA112" s="1">
        <v>126.3</v>
      </c>
      <c r="AB112" s="1">
        <v>114.5</v>
      </c>
      <c r="AC112" s="1">
        <v>118.5</v>
      </c>
      <c r="AD112" s="1">
        <v>126.3</v>
      </c>
    </row>
    <row r="113" spans="1:30" ht="12.5" x14ac:dyDescent="0.25">
      <c r="A113" s="1" t="s">
        <v>30</v>
      </c>
      <c r="B113" s="1">
        <v>2016</v>
      </c>
      <c r="C113" s="1" t="s">
        <v>35</v>
      </c>
      <c r="D113" s="1">
        <v>127.1</v>
      </c>
      <c r="E113" s="1">
        <v>133.69999999999999</v>
      </c>
      <c r="F113" s="1">
        <v>127.7</v>
      </c>
      <c r="G113" s="1">
        <v>130.69999999999999</v>
      </c>
      <c r="H113" s="1">
        <v>118.5</v>
      </c>
      <c r="I113" s="1">
        <v>130.4</v>
      </c>
      <c r="J113" s="1">
        <v>130.9</v>
      </c>
      <c r="K113" s="1">
        <v>162.80000000000001</v>
      </c>
      <c r="L113" s="1">
        <v>98.7</v>
      </c>
      <c r="M113" s="1">
        <v>130.6</v>
      </c>
      <c r="N113" s="1">
        <v>124.8</v>
      </c>
      <c r="O113" s="1">
        <v>136.4</v>
      </c>
      <c r="P113" s="1">
        <v>130.30000000000001</v>
      </c>
      <c r="Q113" s="1">
        <v>134.4</v>
      </c>
      <c r="R113" s="1">
        <v>133.9</v>
      </c>
      <c r="S113" s="1">
        <v>129.80000000000001</v>
      </c>
      <c r="T113" s="1">
        <v>133.4</v>
      </c>
      <c r="U113" s="1" t="s">
        <v>32</v>
      </c>
      <c r="V113" s="1">
        <v>127.5</v>
      </c>
      <c r="W113" s="1">
        <v>127.1</v>
      </c>
      <c r="X113" s="1">
        <v>124.3</v>
      </c>
      <c r="Y113" s="1">
        <v>113.9</v>
      </c>
      <c r="Z113" s="1">
        <v>122.3</v>
      </c>
      <c r="AA113" s="1">
        <v>127.1</v>
      </c>
      <c r="AB113" s="1">
        <v>116.8</v>
      </c>
      <c r="AC113" s="1">
        <v>120.9</v>
      </c>
      <c r="AD113" s="1">
        <v>127.9</v>
      </c>
    </row>
    <row r="114" spans="1:30" ht="12.5" x14ac:dyDescent="0.25">
      <c r="A114" s="1" t="s">
        <v>33</v>
      </c>
      <c r="B114" s="1">
        <v>2016</v>
      </c>
      <c r="C114" s="1" t="s">
        <v>35</v>
      </c>
      <c r="D114" s="1">
        <v>124.8</v>
      </c>
      <c r="E114" s="1">
        <v>135.1</v>
      </c>
      <c r="F114" s="1">
        <v>130.30000000000001</v>
      </c>
      <c r="G114" s="1">
        <v>129.6</v>
      </c>
      <c r="H114" s="1">
        <v>108.4</v>
      </c>
      <c r="I114" s="1">
        <v>118.6</v>
      </c>
      <c r="J114" s="1">
        <v>129.19999999999999</v>
      </c>
      <c r="K114" s="1">
        <v>176.4</v>
      </c>
      <c r="L114" s="1">
        <v>99.1</v>
      </c>
      <c r="M114" s="1">
        <v>139.69999999999999</v>
      </c>
      <c r="N114" s="1">
        <v>120.6</v>
      </c>
      <c r="O114" s="1">
        <v>135.19999999999999</v>
      </c>
      <c r="P114" s="1">
        <v>129.1</v>
      </c>
      <c r="Q114" s="1">
        <v>140</v>
      </c>
      <c r="R114" s="1">
        <v>126.2</v>
      </c>
      <c r="S114" s="1">
        <v>120.1</v>
      </c>
      <c r="T114" s="1">
        <v>125.3</v>
      </c>
      <c r="U114" s="1">
        <v>124.4</v>
      </c>
      <c r="V114" s="1">
        <v>116</v>
      </c>
      <c r="W114" s="1">
        <v>121.8</v>
      </c>
      <c r="X114" s="1">
        <v>119.5</v>
      </c>
      <c r="Y114" s="1">
        <v>109.1</v>
      </c>
      <c r="Z114" s="1">
        <v>118.8</v>
      </c>
      <c r="AA114" s="1">
        <v>126.3</v>
      </c>
      <c r="AB114" s="1">
        <v>116.2</v>
      </c>
      <c r="AC114" s="1">
        <v>117.2</v>
      </c>
      <c r="AD114" s="1">
        <v>123.8</v>
      </c>
    </row>
    <row r="115" spans="1:30" ht="12.5" x14ac:dyDescent="0.25">
      <c r="A115" s="1" t="s">
        <v>34</v>
      </c>
      <c r="B115" s="1">
        <v>2016</v>
      </c>
      <c r="C115" s="1" t="s">
        <v>35</v>
      </c>
      <c r="D115" s="1">
        <v>126.4</v>
      </c>
      <c r="E115" s="1">
        <v>134.19999999999999</v>
      </c>
      <c r="F115" s="1">
        <v>128.69999999999999</v>
      </c>
      <c r="G115" s="1">
        <v>130.30000000000001</v>
      </c>
      <c r="H115" s="1">
        <v>114.8</v>
      </c>
      <c r="I115" s="1">
        <v>124.9</v>
      </c>
      <c r="J115" s="1">
        <v>130.30000000000001</v>
      </c>
      <c r="K115" s="1">
        <v>167.4</v>
      </c>
      <c r="L115" s="1">
        <v>98.8</v>
      </c>
      <c r="M115" s="1">
        <v>133.6</v>
      </c>
      <c r="N115" s="1">
        <v>123</v>
      </c>
      <c r="O115" s="1">
        <v>135.80000000000001</v>
      </c>
      <c r="P115" s="1">
        <v>129.9</v>
      </c>
      <c r="Q115" s="1">
        <v>135.9</v>
      </c>
      <c r="R115" s="1">
        <v>130.9</v>
      </c>
      <c r="S115" s="1">
        <v>125.8</v>
      </c>
      <c r="T115" s="1">
        <v>130.19999999999999</v>
      </c>
      <c r="U115" s="1">
        <v>124.4</v>
      </c>
      <c r="V115" s="1">
        <v>123.1</v>
      </c>
      <c r="W115" s="1">
        <v>124.6</v>
      </c>
      <c r="X115" s="1">
        <v>122.5</v>
      </c>
      <c r="Y115" s="1">
        <v>111.4</v>
      </c>
      <c r="Z115" s="1">
        <v>120.3</v>
      </c>
      <c r="AA115" s="1">
        <v>126.6</v>
      </c>
      <c r="AB115" s="1">
        <v>116.6</v>
      </c>
      <c r="AC115" s="1">
        <v>119.1</v>
      </c>
      <c r="AD115" s="1">
        <v>126</v>
      </c>
    </row>
    <row r="116" spans="1:30" ht="12.5" x14ac:dyDescent="0.25">
      <c r="A116" s="1" t="s">
        <v>30</v>
      </c>
      <c r="B116" s="1">
        <v>2016</v>
      </c>
      <c r="C116" s="1" t="s">
        <v>36</v>
      </c>
      <c r="D116" s="1">
        <v>127.3</v>
      </c>
      <c r="E116" s="1">
        <v>134.4</v>
      </c>
      <c r="F116" s="1">
        <v>125.1</v>
      </c>
      <c r="G116" s="1">
        <v>130.5</v>
      </c>
      <c r="H116" s="1">
        <v>118.3</v>
      </c>
      <c r="I116" s="1">
        <v>131.69999999999999</v>
      </c>
      <c r="J116" s="1">
        <v>130.69999999999999</v>
      </c>
      <c r="K116" s="1">
        <v>161.19999999999999</v>
      </c>
      <c r="L116" s="1">
        <v>100.4</v>
      </c>
      <c r="M116" s="1">
        <v>130.80000000000001</v>
      </c>
      <c r="N116" s="1">
        <v>124.9</v>
      </c>
      <c r="O116" s="1">
        <v>137</v>
      </c>
      <c r="P116" s="1">
        <v>130.4</v>
      </c>
      <c r="Q116" s="1">
        <v>135</v>
      </c>
      <c r="R116" s="1">
        <v>134.4</v>
      </c>
      <c r="S116" s="1">
        <v>130.19999999999999</v>
      </c>
      <c r="T116" s="1">
        <v>133.80000000000001</v>
      </c>
      <c r="U116" s="1" t="s">
        <v>32</v>
      </c>
      <c r="V116" s="1">
        <v>127</v>
      </c>
      <c r="W116" s="1">
        <v>127.7</v>
      </c>
      <c r="X116" s="1">
        <v>124.8</v>
      </c>
      <c r="Y116" s="1">
        <v>113.6</v>
      </c>
      <c r="Z116" s="1">
        <v>122.5</v>
      </c>
      <c r="AA116" s="1">
        <v>127.5</v>
      </c>
      <c r="AB116" s="1">
        <v>117.4</v>
      </c>
      <c r="AC116" s="1">
        <v>121.1</v>
      </c>
      <c r="AD116" s="1">
        <v>128</v>
      </c>
    </row>
    <row r="117" spans="1:30" ht="12.5" x14ac:dyDescent="0.25">
      <c r="A117" s="1" t="s">
        <v>33</v>
      </c>
      <c r="B117" s="1">
        <v>2016</v>
      </c>
      <c r="C117" s="1" t="s">
        <v>36</v>
      </c>
      <c r="D117" s="1">
        <v>124.8</v>
      </c>
      <c r="E117" s="1">
        <v>136.30000000000001</v>
      </c>
      <c r="F117" s="1">
        <v>123.7</v>
      </c>
      <c r="G117" s="1">
        <v>129.69999999999999</v>
      </c>
      <c r="H117" s="1">
        <v>107.9</v>
      </c>
      <c r="I117" s="1">
        <v>119.9</v>
      </c>
      <c r="J117" s="1">
        <v>128.1</v>
      </c>
      <c r="K117" s="1">
        <v>170.3</v>
      </c>
      <c r="L117" s="1">
        <v>101.8</v>
      </c>
      <c r="M117" s="1">
        <v>140.1</v>
      </c>
      <c r="N117" s="1">
        <v>120.7</v>
      </c>
      <c r="O117" s="1">
        <v>135.4</v>
      </c>
      <c r="P117" s="1">
        <v>128.9</v>
      </c>
      <c r="Q117" s="1">
        <v>140.6</v>
      </c>
      <c r="R117" s="1">
        <v>126.4</v>
      </c>
      <c r="S117" s="1">
        <v>120.3</v>
      </c>
      <c r="T117" s="1">
        <v>125.5</v>
      </c>
      <c r="U117" s="1">
        <v>124.9</v>
      </c>
      <c r="V117" s="1">
        <v>114.8</v>
      </c>
      <c r="W117" s="1">
        <v>122.3</v>
      </c>
      <c r="X117" s="1">
        <v>119.7</v>
      </c>
      <c r="Y117" s="1">
        <v>108.5</v>
      </c>
      <c r="Z117" s="1">
        <v>119.1</v>
      </c>
      <c r="AA117" s="1">
        <v>126.4</v>
      </c>
      <c r="AB117" s="1">
        <v>117.1</v>
      </c>
      <c r="AC117" s="1">
        <v>117.3</v>
      </c>
      <c r="AD117" s="1">
        <v>123.8</v>
      </c>
    </row>
    <row r="118" spans="1:30" ht="12.5" x14ac:dyDescent="0.25">
      <c r="A118" s="1" t="s">
        <v>34</v>
      </c>
      <c r="B118" s="1">
        <v>2016</v>
      </c>
      <c r="C118" s="1" t="s">
        <v>36</v>
      </c>
      <c r="D118" s="1">
        <v>126.5</v>
      </c>
      <c r="E118" s="1">
        <v>135.1</v>
      </c>
      <c r="F118" s="1">
        <v>124.6</v>
      </c>
      <c r="G118" s="1">
        <v>130.19999999999999</v>
      </c>
      <c r="H118" s="1">
        <v>114.5</v>
      </c>
      <c r="I118" s="1">
        <v>126.2</v>
      </c>
      <c r="J118" s="1">
        <v>129.80000000000001</v>
      </c>
      <c r="K118" s="1">
        <v>164.3</v>
      </c>
      <c r="L118" s="1">
        <v>100.9</v>
      </c>
      <c r="M118" s="1">
        <v>133.9</v>
      </c>
      <c r="N118" s="1">
        <v>123.1</v>
      </c>
      <c r="O118" s="1">
        <v>136.30000000000001</v>
      </c>
      <c r="P118" s="1">
        <v>129.80000000000001</v>
      </c>
      <c r="Q118" s="1">
        <v>136.5</v>
      </c>
      <c r="R118" s="1">
        <v>131.30000000000001</v>
      </c>
      <c r="S118" s="1">
        <v>126.1</v>
      </c>
      <c r="T118" s="1">
        <v>130.5</v>
      </c>
      <c r="U118" s="1">
        <v>124.9</v>
      </c>
      <c r="V118" s="1">
        <v>122.4</v>
      </c>
      <c r="W118" s="1">
        <v>125.1</v>
      </c>
      <c r="X118" s="1">
        <v>122.9</v>
      </c>
      <c r="Y118" s="1">
        <v>110.9</v>
      </c>
      <c r="Z118" s="1">
        <v>120.6</v>
      </c>
      <c r="AA118" s="1">
        <v>126.9</v>
      </c>
      <c r="AB118" s="1">
        <v>117.3</v>
      </c>
      <c r="AC118" s="1">
        <v>119.3</v>
      </c>
      <c r="AD118" s="1">
        <v>126</v>
      </c>
    </row>
    <row r="119" spans="1:30" ht="12.5" x14ac:dyDescent="0.25">
      <c r="A119" s="1" t="s">
        <v>30</v>
      </c>
      <c r="B119" s="1">
        <v>2016</v>
      </c>
      <c r="C119" s="1" t="s">
        <v>37</v>
      </c>
      <c r="D119" s="1">
        <v>127.4</v>
      </c>
      <c r="E119" s="1">
        <v>135.4</v>
      </c>
      <c r="F119" s="1">
        <v>123.4</v>
      </c>
      <c r="G119" s="1">
        <v>131.30000000000001</v>
      </c>
      <c r="H119" s="1">
        <v>118.2</v>
      </c>
      <c r="I119" s="1">
        <v>138.1</v>
      </c>
      <c r="J119" s="1">
        <v>134.1</v>
      </c>
      <c r="K119" s="1">
        <v>162.69999999999999</v>
      </c>
      <c r="L119" s="1">
        <v>105</v>
      </c>
      <c r="M119" s="1">
        <v>131.4</v>
      </c>
      <c r="N119" s="1">
        <v>125.4</v>
      </c>
      <c r="O119" s="1">
        <v>137.4</v>
      </c>
      <c r="P119" s="1">
        <v>131.80000000000001</v>
      </c>
      <c r="Q119" s="1">
        <v>135.5</v>
      </c>
      <c r="R119" s="1">
        <v>135</v>
      </c>
      <c r="S119" s="1">
        <v>130.6</v>
      </c>
      <c r="T119" s="1">
        <v>134.4</v>
      </c>
      <c r="U119" s="1" t="s">
        <v>32</v>
      </c>
      <c r="V119" s="1">
        <v>127</v>
      </c>
      <c r="W119" s="1">
        <v>128</v>
      </c>
      <c r="X119" s="1">
        <v>125.2</v>
      </c>
      <c r="Y119" s="1">
        <v>114.4</v>
      </c>
      <c r="Z119" s="1">
        <v>123.2</v>
      </c>
      <c r="AA119" s="1">
        <v>127.9</v>
      </c>
      <c r="AB119" s="1">
        <v>118.4</v>
      </c>
      <c r="AC119" s="1">
        <v>121.7</v>
      </c>
      <c r="AD119" s="1">
        <v>129</v>
      </c>
    </row>
    <row r="120" spans="1:30" ht="12.5" x14ac:dyDescent="0.25">
      <c r="A120" s="1" t="s">
        <v>33</v>
      </c>
      <c r="B120" s="1">
        <v>2016</v>
      </c>
      <c r="C120" s="1" t="s">
        <v>37</v>
      </c>
      <c r="D120" s="1">
        <v>124.9</v>
      </c>
      <c r="E120" s="1">
        <v>139.30000000000001</v>
      </c>
      <c r="F120" s="1">
        <v>119.9</v>
      </c>
      <c r="G120" s="1">
        <v>130.19999999999999</v>
      </c>
      <c r="H120" s="1">
        <v>108.9</v>
      </c>
      <c r="I120" s="1">
        <v>131.1</v>
      </c>
      <c r="J120" s="1">
        <v>136.80000000000001</v>
      </c>
      <c r="K120" s="1">
        <v>176.9</v>
      </c>
      <c r="L120" s="1">
        <v>109.1</v>
      </c>
      <c r="M120" s="1">
        <v>140.4</v>
      </c>
      <c r="N120" s="1">
        <v>121.1</v>
      </c>
      <c r="O120" s="1">
        <v>135.9</v>
      </c>
      <c r="P120" s="1">
        <v>131.80000000000001</v>
      </c>
      <c r="Q120" s="1">
        <v>141.5</v>
      </c>
      <c r="R120" s="1">
        <v>126.8</v>
      </c>
      <c r="S120" s="1">
        <v>120.5</v>
      </c>
      <c r="T120" s="1">
        <v>125.8</v>
      </c>
      <c r="U120" s="1">
        <v>125.6</v>
      </c>
      <c r="V120" s="1">
        <v>114.6</v>
      </c>
      <c r="W120" s="1">
        <v>122.8</v>
      </c>
      <c r="X120" s="1">
        <v>120</v>
      </c>
      <c r="Y120" s="1">
        <v>110</v>
      </c>
      <c r="Z120" s="1">
        <v>119.5</v>
      </c>
      <c r="AA120" s="1">
        <v>127.6</v>
      </c>
      <c r="AB120" s="1">
        <v>117.6</v>
      </c>
      <c r="AC120" s="1">
        <v>118.2</v>
      </c>
      <c r="AD120" s="1">
        <v>125.3</v>
      </c>
    </row>
    <row r="121" spans="1:30" ht="12.5" x14ac:dyDescent="0.25">
      <c r="A121" s="1" t="s">
        <v>34</v>
      </c>
      <c r="B121" s="1">
        <v>2016</v>
      </c>
      <c r="C121" s="1" t="s">
        <v>37</v>
      </c>
      <c r="D121" s="1">
        <v>126.6</v>
      </c>
      <c r="E121" s="1">
        <v>136.80000000000001</v>
      </c>
      <c r="F121" s="1">
        <v>122</v>
      </c>
      <c r="G121" s="1">
        <v>130.9</v>
      </c>
      <c r="H121" s="1">
        <v>114.8</v>
      </c>
      <c r="I121" s="1">
        <v>134.80000000000001</v>
      </c>
      <c r="J121" s="1">
        <v>135</v>
      </c>
      <c r="K121" s="1">
        <v>167.5</v>
      </c>
      <c r="L121" s="1">
        <v>106.4</v>
      </c>
      <c r="M121" s="1">
        <v>134.4</v>
      </c>
      <c r="N121" s="1">
        <v>123.6</v>
      </c>
      <c r="O121" s="1">
        <v>136.69999999999999</v>
      </c>
      <c r="P121" s="1">
        <v>131.80000000000001</v>
      </c>
      <c r="Q121" s="1">
        <v>137.1</v>
      </c>
      <c r="R121" s="1">
        <v>131.80000000000001</v>
      </c>
      <c r="S121" s="1">
        <v>126.4</v>
      </c>
      <c r="T121" s="1">
        <v>131</v>
      </c>
      <c r="U121" s="1">
        <v>125.6</v>
      </c>
      <c r="V121" s="1">
        <v>122.3</v>
      </c>
      <c r="W121" s="1">
        <v>125.5</v>
      </c>
      <c r="X121" s="1">
        <v>123.2</v>
      </c>
      <c r="Y121" s="1">
        <v>112.1</v>
      </c>
      <c r="Z121" s="1">
        <v>121.1</v>
      </c>
      <c r="AA121" s="1">
        <v>127.7</v>
      </c>
      <c r="AB121" s="1">
        <v>118.1</v>
      </c>
      <c r="AC121" s="1">
        <v>120</v>
      </c>
      <c r="AD121" s="1">
        <v>127.3</v>
      </c>
    </row>
    <row r="122" spans="1:30" ht="12.5" x14ac:dyDescent="0.25">
      <c r="A122" s="1" t="s">
        <v>30</v>
      </c>
      <c r="B122" s="1">
        <v>2016</v>
      </c>
      <c r="C122" s="1" t="s">
        <v>38</v>
      </c>
      <c r="D122" s="1">
        <v>127.6</v>
      </c>
      <c r="E122" s="1">
        <v>137.5</v>
      </c>
      <c r="F122" s="1">
        <v>124.4</v>
      </c>
      <c r="G122" s="1">
        <v>132.4</v>
      </c>
      <c r="H122" s="1">
        <v>118.2</v>
      </c>
      <c r="I122" s="1">
        <v>138.1</v>
      </c>
      <c r="J122" s="1">
        <v>141.80000000000001</v>
      </c>
      <c r="K122" s="1">
        <v>166</v>
      </c>
      <c r="L122" s="1">
        <v>107.5</v>
      </c>
      <c r="M122" s="1">
        <v>132.19999999999999</v>
      </c>
      <c r="N122" s="1">
        <v>126.1</v>
      </c>
      <c r="O122" s="1">
        <v>138.30000000000001</v>
      </c>
      <c r="P122" s="1">
        <v>133.6</v>
      </c>
      <c r="Q122" s="1">
        <v>136</v>
      </c>
      <c r="R122" s="1">
        <v>135.4</v>
      </c>
      <c r="S122" s="1">
        <v>131.1</v>
      </c>
      <c r="T122" s="1">
        <v>134.80000000000001</v>
      </c>
      <c r="U122" s="1" t="s">
        <v>32</v>
      </c>
      <c r="V122" s="1">
        <v>127.4</v>
      </c>
      <c r="W122" s="1">
        <v>128.5</v>
      </c>
      <c r="X122" s="1">
        <v>125.8</v>
      </c>
      <c r="Y122" s="1">
        <v>115.1</v>
      </c>
      <c r="Z122" s="1">
        <v>123.6</v>
      </c>
      <c r="AA122" s="1">
        <v>129.1</v>
      </c>
      <c r="AB122" s="1">
        <v>119.7</v>
      </c>
      <c r="AC122" s="1">
        <v>122.5</v>
      </c>
      <c r="AD122" s="1">
        <v>130.30000000000001</v>
      </c>
    </row>
    <row r="123" spans="1:30" ht="12.5" x14ac:dyDescent="0.25">
      <c r="A123" s="1" t="s">
        <v>33</v>
      </c>
      <c r="B123" s="1">
        <v>2016</v>
      </c>
      <c r="C123" s="1" t="s">
        <v>38</v>
      </c>
      <c r="D123" s="1">
        <v>125</v>
      </c>
      <c r="E123" s="1">
        <v>142.1</v>
      </c>
      <c r="F123" s="1">
        <v>127</v>
      </c>
      <c r="G123" s="1">
        <v>130.4</v>
      </c>
      <c r="H123" s="1">
        <v>109.6</v>
      </c>
      <c r="I123" s="1">
        <v>133.5</v>
      </c>
      <c r="J123" s="1">
        <v>151.4</v>
      </c>
      <c r="K123" s="1">
        <v>182.8</v>
      </c>
      <c r="L123" s="1">
        <v>111.1</v>
      </c>
      <c r="M123" s="1">
        <v>141.5</v>
      </c>
      <c r="N123" s="1">
        <v>121.5</v>
      </c>
      <c r="O123" s="1">
        <v>136.30000000000001</v>
      </c>
      <c r="P123" s="1">
        <v>134.6</v>
      </c>
      <c r="Q123" s="1">
        <v>142.19999999999999</v>
      </c>
      <c r="R123" s="1">
        <v>127.2</v>
      </c>
      <c r="S123" s="1">
        <v>120.7</v>
      </c>
      <c r="T123" s="1">
        <v>126.2</v>
      </c>
      <c r="U123" s="1">
        <v>126</v>
      </c>
      <c r="V123" s="1">
        <v>115</v>
      </c>
      <c r="W123" s="1">
        <v>123.2</v>
      </c>
      <c r="X123" s="1">
        <v>120.3</v>
      </c>
      <c r="Y123" s="1">
        <v>110.7</v>
      </c>
      <c r="Z123" s="1">
        <v>119.8</v>
      </c>
      <c r="AA123" s="1">
        <v>128</v>
      </c>
      <c r="AB123" s="1">
        <v>118.5</v>
      </c>
      <c r="AC123" s="1">
        <v>118.7</v>
      </c>
      <c r="AD123" s="1">
        <v>126.6</v>
      </c>
    </row>
    <row r="124" spans="1:30" ht="12.5" x14ac:dyDescent="0.25">
      <c r="A124" s="1" t="s">
        <v>34</v>
      </c>
      <c r="B124" s="1">
        <v>2016</v>
      </c>
      <c r="C124" s="1" t="s">
        <v>38</v>
      </c>
      <c r="D124" s="1">
        <v>126.8</v>
      </c>
      <c r="E124" s="1">
        <v>139.1</v>
      </c>
      <c r="F124" s="1">
        <v>125.4</v>
      </c>
      <c r="G124" s="1">
        <v>131.69999999999999</v>
      </c>
      <c r="H124" s="1">
        <v>115</v>
      </c>
      <c r="I124" s="1">
        <v>136</v>
      </c>
      <c r="J124" s="1">
        <v>145.1</v>
      </c>
      <c r="K124" s="1">
        <v>171.7</v>
      </c>
      <c r="L124" s="1">
        <v>108.7</v>
      </c>
      <c r="M124" s="1">
        <v>135.30000000000001</v>
      </c>
      <c r="N124" s="1">
        <v>124.2</v>
      </c>
      <c r="O124" s="1">
        <v>137.4</v>
      </c>
      <c r="P124" s="1">
        <v>134</v>
      </c>
      <c r="Q124" s="1">
        <v>137.69999999999999</v>
      </c>
      <c r="R124" s="1">
        <v>132.19999999999999</v>
      </c>
      <c r="S124" s="1">
        <v>126.8</v>
      </c>
      <c r="T124" s="1">
        <v>131.4</v>
      </c>
      <c r="U124" s="1">
        <v>126</v>
      </c>
      <c r="V124" s="1">
        <v>122.7</v>
      </c>
      <c r="W124" s="1">
        <v>126</v>
      </c>
      <c r="X124" s="1">
        <v>123.7</v>
      </c>
      <c r="Y124" s="1">
        <v>112.8</v>
      </c>
      <c r="Z124" s="1">
        <v>121.5</v>
      </c>
      <c r="AA124" s="1">
        <v>128.5</v>
      </c>
      <c r="AB124" s="1">
        <v>119.2</v>
      </c>
      <c r="AC124" s="1">
        <v>120.7</v>
      </c>
      <c r="AD124" s="1">
        <v>128.6</v>
      </c>
    </row>
    <row r="125" spans="1:30" ht="12.5" x14ac:dyDescent="0.25">
      <c r="A125" s="1" t="s">
        <v>30</v>
      </c>
      <c r="B125" s="1">
        <v>2016</v>
      </c>
      <c r="C125" s="1" t="s">
        <v>39</v>
      </c>
      <c r="D125" s="1">
        <v>128.6</v>
      </c>
      <c r="E125" s="1">
        <v>138.6</v>
      </c>
      <c r="F125" s="1">
        <v>126.6</v>
      </c>
      <c r="G125" s="1">
        <v>133.6</v>
      </c>
      <c r="H125" s="1">
        <v>118.6</v>
      </c>
      <c r="I125" s="1">
        <v>137.4</v>
      </c>
      <c r="J125" s="1">
        <v>152.5</v>
      </c>
      <c r="K125" s="1">
        <v>169.2</v>
      </c>
      <c r="L125" s="1">
        <v>108.8</v>
      </c>
      <c r="M125" s="1">
        <v>133.1</v>
      </c>
      <c r="N125" s="1">
        <v>126.4</v>
      </c>
      <c r="O125" s="1">
        <v>139.19999999999999</v>
      </c>
      <c r="P125" s="1">
        <v>136</v>
      </c>
      <c r="Q125" s="1">
        <v>137.19999999999999</v>
      </c>
      <c r="R125" s="1">
        <v>136.30000000000001</v>
      </c>
      <c r="S125" s="1">
        <v>131.6</v>
      </c>
      <c r="T125" s="1">
        <v>135.6</v>
      </c>
      <c r="U125" s="1" t="s">
        <v>32</v>
      </c>
      <c r="V125" s="1">
        <v>128</v>
      </c>
      <c r="W125" s="1">
        <v>129.30000000000001</v>
      </c>
      <c r="X125" s="1">
        <v>126.2</v>
      </c>
      <c r="Y125" s="1">
        <v>116.3</v>
      </c>
      <c r="Z125" s="1">
        <v>124.1</v>
      </c>
      <c r="AA125" s="1">
        <v>130.19999999999999</v>
      </c>
      <c r="AB125" s="1">
        <v>119.9</v>
      </c>
      <c r="AC125" s="1">
        <v>123.3</v>
      </c>
      <c r="AD125" s="1">
        <v>131.9</v>
      </c>
    </row>
    <row r="126" spans="1:30" ht="12.5" x14ac:dyDescent="0.25">
      <c r="A126" s="1" t="s">
        <v>33</v>
      </c>
      <c r="B126" s="1">
        <v>2016</v>
      </c>
      <c r="C126" s="1" t="s">
        <v>39</v>
      </c>
      <c r="D126" s="1">
        <v>125.9</v>
      </c>
      <c r="E126" s="1">
        <v>143.9</v>
      </c>
      <c r="F126" s="1">
        <v>130.9</v>
      </c>
      <c r="G126" s="1">
        <v>131</v>
      </c>
      <c r="H126" s="1">
        <v>110.2</v>
      </c>
      <c r="I126" s="1">
        <v>135.5</v>
      </c>
      <c r="J126" s="1">
        <v>173.7</v>
      </c>
      <c r="K126" s="1">
        <v>184.4</v>
      </c>
      <c r="L126" s="1">
        <v>112</v>
      </c>
      <c r="M126" s="1">
        <v>142.80000000000001</v>
      </c>
      <c r="N126" s="1">
        <v>121.6</v>
      </c>
      <c r="O126" s="1">
        <v>136.9</v>
      </c>
      <c r="P126" s="1">
        <v>138.19999999999999</v>
      </c>
      <c r="Q126" s="1">
        <v>142.69999999999999</v>
      </c>
      <c r="R126" s="1">
        <v>127.6</v>
      </c>
      <c r="S126" s="1">
        <v>121.1</v>
      </c>
      <c r="T126" s="1">
        <v>126.6</v>
      </c>
      <c r="U126" s="1">
        <v>125.5</v>
      </c>
      <c r="V126" s="1">
        <v>115.5</v>
      </c>
      <c r="W126" s="1">
        <v>123.2</v>
      </c>
      <c r="X126" s="1">
        <v>120.6</v>
      </c>
      <c r="Y126" s="1">
        <v>112.3</v>
      </c>
      <c r="Z126" s="1">
        <v>119.9</v>
      </c>
      <c r="AA126" s="1">
        <v>129.30000000000001</v>
      </c>
      <c r="AB126" s="1">
        <v>118.8</v>
      </c>
      <c r="AC126" s="1">
        <v>119.6</v>
      </c>
      <c r="AD126" s="1">
        <v>128.1</v>
      </c>
    </row>
    <row r="127" spans="1:30" ht="12.5" x14ac:dyDescent="0.25">
      <c r="A127" s="1" t="s">
        <v>34</v>
      </c>
      <c r="B127" s="1">
        <v>2016</v>
      </c>
      <c r="C127" s="1" t="s">
        <v>39</v>
      </c>
      <c r="D127" s="1">
        <v>127.7</v>
      </c>
      <c r="E127" s="1">
        <v>140.5</v>
      </c>
      <c r="F127" s="1">
        <v>128.30000000000001</v>
      </c>
      <c r="G127" s="1">
        <v>132.6</v>
      </c>
      <c r="H127" s="1">
        <v>115.5</v>
      </c>
      <c r="I127" s="1">
        <v>136.5</v>
      </c>
      <c r="J127" s="1">
        <v>159.69999999999999</v>
      </c>
      <c r="K127" s="1">
        <v>174.3</v>
      </c>
      <c r="L127" s="1">
        <v>109.9</v>
      </c>
      <c r="M127" s="1">
        <v>136.30000000000001</v>
      </c>
      <c r="N127" s="1">
        <v>124.4</v>
      </c>
      <c r="O127" s="1">
        <v>138.1</v>
      </c>
      <c r="P127" s="1">
        <v>136.80000000000001</v>
      </c>
      <c r="Q127" s="1">
        <v>138.69999999999999</v>
      </c>
      <c r="R127" s="1">
        <v>132.9</v>
      </c>
      <c r="S127" s="1">
        <v>127.2</v>
      </c>
      <c r="T127" s="1">
        <v>132</v>
      </c>
      <c r="U127" s="1">
        <v>125.5</v>
      </c>
      <c r="V127" s="1">
        <v>123.3</v>
      </c>
      <c r="W127" s="1">
        <v>126.4</v>
      </c>
      <c r="X127" s="1">
        <v>124.1</v>
      </c>
      <c r="Y127" s="1">
        <v>114.2</v>
      </c>
      <c r="Z127" s="1">
        <v>121.7</v>
      </c>
      <c r="AA127" s="1">
        <v>129.69999999999999</v>
      </c>
      <c r="AB127" s="1">
        <v>119.4</v>
      </c>
      <c r="AC127" s="1">
        <v>121.5</v>
      </c>
      <c r="AD127" s="1">
        <v>130.1</v>
      </c>
    </row>
    <row r="128" spans="1:30" ht="12.5" x14ac:dyDescent="0.25">
      <c r="A128" s="1" t="s">
        <v>30</v>
      </c>
      <c r="B128" s="1">
        <v>2016</v>
      </c>
      <c r="C128" s="1" t="s">
        <v>40</v>
      </c>
      <c r="D128" s="1">
        <v>129.30000000000001</v>
      </c>
      <c r="E128" s="1">
        <v>139.5</v>
      </c>
      <c r="F128" s="1">
        <v>129.6</v>
      </c>
      <c r="G128" s="1">
        <v>134.5</v>
      </c>
      <c r="H128" s="1">
        <v>119.5</v>
      </c>
      <c r="I128" s="1">
        <v>138.5</v>
      </c>
      <c r="J128" s="1">
        <v>158.19999999999999</v>
      </c>
      <c r="K128" s="1">
        <v>171.8</v>
      </c>
      <c r="L128" s="1">
        <v>110.3</v>
      </c>
      <c r="M128" s="1">
        <v>134.30000000000001</v>
      </c>
      <c r="N128" s="1">
        <v>127.3</v>
      </c>
      <c r="O128" s="1">
        <v>139.9</v>
      </c>
      <c r="P128" s="1">
        <v>137.6</v>
      </c>
      <c r="Q128" s="1">
        <v>138</v>
      </c>
      <c r="R128" s="1">
        <v>137.19999999999999</v>
      </c>
      <c r="S128" s="1">
        <v>132.19999999999999</v>
      </c>
      <c r="T128" s="1">
        <v>136.5</v>
      </c>
      <c r="U128" s="1" t="s">
        <v>32</v>
      </c>
      <c r="V128" s="1">
        <v>128.19999999999999</v>
      </c>
      <c r="W128" s="1">
        <v>130</v>
      </c>
      <c r="X128" s="1">
        <v>126.7</v>
      </c>
      <c r="Y128" s="1">
        <v>116.4</v>
      </c>
      <c r="Z128" s="1">
        <v>125.2</v>
      </c>
      <c r="AA128" s="1">
        <v>130.80000000000001</v>
      </c>
      <c r="AB128" s="1">
        <v>120.9</v>
      </c>
      <c r="AC128" s="1">
        <v>123.8</v>
      </c>
      <c r="AD128" s="1">
        <v>133</v>
      </c>
    </row>
    <row r="129" spans="1:30" ht="12.5" x14ac:dyDescent="0.25">
      <c r="A129" s="1" t="s">
        <v>33</v>
      </c>
      <c r="B129" s="1">
        <v>2016</v>
      </c>
      <c r="C129" s="1" t="s">
        <v>40</v>
      </c>
      <c r="D129" s="1">
        <v>126.8</v>
      </c>
      <c r="E129" s="1">
        <v>144.19999999999999</v>
      </c>
      <c r="F129" s="1">
        <v>136.6</v>
      </c>
      <c r="G129" s="1">
        <v>131.80000000000001</v>
      </c>
      <c r="H129" s="1">
        <v>111</v>
      </c>
      <c r="I129" s="1">
        <v>137</v>
      </c>
      <c r="J129" s="1">
        <v>179.5</v>
      </c>
      <c r="K129" s="1">
        <v>188.4</v>
      </c>
      <c r="L129" s="1">
        <v>113.3</v>
      </c>
      <c r="M129" s="1">
        <v>143.9</v>
      </c>
      <c r="N129" s="1">
        <v>121.7</v>
      </c>
      <c r="O129" s="1">
        <v>137.5</v>
      </c>
      <c r="P129" s="1">
        <v>139.80000000000001</v>
      </c>
      <c r="Q129" s="1">
        <v>142.9</v>
      </c>
      <c r="R129" s="1">
        <v>127.9</v>
      </c>
      <c r="S129" s="1">
        <v>121.1</v>
      </c>
      <c r="T129" s="1">
        <v>126.9</v>
      </c>
      <c r="U129" s="1">
        <v>126.4</v>
      </c>
      <c r="V129" s="1">
        <v>115.5</v>
      </c>
      <c r="W129" s="1">
        <v>123.5</v>
      </c>
      <c r="X129" s="1">
        <v>120.9</v>
      </c>
      <c r="Y129" s="1">
        <v>111.7</v>
      </c>
      <c r="Z129" s="1">
        <v>120.3</v>
      </c>
      <c r="AA129" s="1">
        <v>130.80000000000001</v>
      </c>
      <c r="AB129" s="1">
        <v>120</v>
      </c>
      <c r="AC129" s="1">
        <v>119.9</v>
      </c>
      <c r="AD129" s="1">
        <v>129</v>
      </c>
    </row>
    <row r="130" spans="1:30" ht="12.5" x14ac:dyDescent="0.25">
      <c r="A130" s="1" t="s">
        <v>34</v>
      </c>
      <c r="B130" s="1">
        <v>2016</v>
      </c>
      <c r="C130" s="1" t="s">
        <v>40</v>
      </c>
      <c r="D130" s="1">
        <v>128.5</v>
      </c>
      <c r="E130" s="1">
        <v>141.19999999999999</v>
      </c>
      <c r="F130" s="1">
        <v>132.30000000000001</v>
      </c>
      <c r="G130" s="1">
        <v>133.5</v>
      </c>
      <c r="H130" s="1">
        <v>116.4</v>
      </c>
      <c r="I130" s="1">
        <v>137.80000000000001</v>
      </c>
      <c r="J130" s="1">
        <v>165.4</v>
      </c>
      <c r="K130" s="1">
        <v>177.4</v>
      </c>
      <c r="L130" s="1">
        <v>111.3</v>
      </c>
      <c r="M130" s="1">
        <v>137.5</v>
      </c>
      <c r="N130" s="1">
        <v>125</v>
      </c>
      <c r="O130" s="1">
        <v>138.80000000000001</v>
      </c>
      <c r="P130" s="1">
        <v>138.4</v>
      </c>
      <c r="Q130" s="1">
        <v>139.30000000000001</v>
      </c>
      <c r="R130" s="1">
        <v>133.5</v>
      </c>
      <c r="S130" s="1">
        <v>127.6</v>
      </c>
      <c r="T130" s="1">
        <v>132.69999999999999</v>
      </c>
      <c r="U130" s="1">
        <v>126.4</v>
      </c>
      <c r="V130" s="1">
        <v>123.4</v>
      </c>
      <c r="W130" s="1">
        <v>126.9</v>
      </c>
      <c r="X130" s="1">
        <v>124.5</v>
      </c>
      <c r="Y130" s="1">
        <v>113.9</v>
      </c>
      <c r="Z130" s="1">
        <v>122.4</v>
      </c>
      <c r="AA130" s="1">
        <v>130.80000000000001</v>
      </c>
      <c r="AB130" s="1">
        <v>120.5</v>
      </c>
      <c r="AC130" s="1">
        <v>121.9</v>
      </c>
      <c r="AD130" s="1">
        <v>131.1</v>
      </c>
    </row>
    <row r="131" spans="1:30" ht="12.5" x14ac:dyDescent="0.25">
      <c r="A131" s="1" t="s">
        <v>30</v>
      </c>
      <c r="B131" s="1">
        <v>2016</v>
      </c>
      <c r="C131" s="1" t="s">
        <v>41</v>
      </c>
      <c r="D131" s="1">
        <v>130.1</v>
      </c>
      <c r="E131" s="1">
        <v>138.80000000000001</v>
      </c>
      <c r="F131" s="1">
        <v>130.30000000000001</v>
      </c>
      <c r="G131" s="1">
        <v>135.30000000000001</v>
      </c>
      <c r="H131" s="1">
        <v>119.9</v>
      </c>
      <c r="I131" s="1">
        <v>140.19999999999999</v>
      </c>
      <c r="J131" s="1">
        <v>156.9</v>
      </c>
      <c r="K131" s="1">
        <v>172.2</v>
      </c>
      <c r="L131" s="1">
        <v>112.1</v>
      </c>
      <c r="M131" s="1">
        <v>134.9</v>
      </c>
      <c r="N131" s="1">
        <v>128.1</v>
      </c>
      <c r="O131" s="1">
        <v>140.69999999999999</v>
      </c>
      <c r="P131" s="1">
        <v>138</v>
      </c>
      <c r="Q131" s="1">
        <v>138.9</v>
      </c>
      <c r="R131" s="1">
        <v>137.80000000000001</v>
      </c>
      <c r="S131" s="1">
        <v>133</v>
      </c>
      <c r="T131" s="1">
        <v>137.1</v>
      </c>
      <c r="U131" s="1" t="s">
        <v>32</v>
      </c>
      <c r="V131" s="1">
        <v>129.1</v>
      </c>
      <c r="W131" s="1">
        <v>130.6</v>
      </c>
      <c r="X131" s="1">
        <v>127</v>
      </c>
      <c r="Y131" s="1">
        <v>116</v>
      </c>
      <c r="Z131" s="1">
        <v>125.5</v>
      </c>
      <c r="AA131" s="1">
        <v>131.9</v>
      </c>
      <c r="AB131" s="1">
        <v>122</v>
      </c>
      <c r="AC131" s="1">
        <v>124.2</v>
      </c>
      <c r="AD131" s="1">
        <v>133.5</v>
      </c>
    </row>
    <row r="132" spans="1:30" ht="12.5" x14ac:dyDescent="0.25">
      <c r="A132" s="1" t="s">
        <v>33</v>
      </c>
      <c r="B132" s="1">
        <v>2016</v>
      </c>
      <c r="C132" s="1" t="s">
        <v>41</v>
      </c>
      <c r="D132" s="1">
        <v>127.6</v>
      </c>
      <c r="E132" s="1">
        <v>140.30000000000001</v>
      </c>
      <c r="F132" s="1">
        <v>133.69999999999999</v>
      </c>
      <c r="G132" s="1">
        <v>132.19999999999999</v>
      </c>
      <c r="H132" s="1">
        <v>111.8</v>
      </c>
      <c r="I132" s="1">
        <v>135.80000000000001</v>
      </c>
      <c r="J132" s="1">
        <v>163.5</v>
      </c>
      <c r="K132" s="1">
        <v>182.3</v>
      </c>
      <c r="L132" s="1">
        <v>114.6</v>
      </c>
      <c r="M132" s="1">
        <v>144.6</v>
      </c>
      <c r="N132" s="1">
        <v>121.9</v>
      </c>
      <c r="O132" s="1">
        <v>138.1</v>
      </c>
      <c r="P132" s="1">
        <v>137.6</v>
      </c>
      <c r="Q132" s="1">
        <v>143.6</v>
      </c>
      <c r="R132" s="1">
        <v>128.30000000000001</v>
      </c>
      <c r="S132" s="1">
        <v>121.4</v>
      </c>
      <c r="T132" s="1">
        <v>127.3</v>
      </c>
      <c r="U132" s="1">
        <v>127.3</v>
      </c>
      <c r="V132" s="1">
        <v>114.7</v>
      </c>
      <c r="W132" s="1">
        <v>123.9</v>
      </c>
      <c r="X132" s="1">
        <v>121.2</v>
      </c>
      <c r="Y132" s="1">
        <v>110.4</v>
      </c>
      <c r="Z132" s="1">
        <v>120.6</v>
      </c>
      <c r="AA132" s="1">
        <v>131.5</v>
      </c>
      <c r="AB132" s="1">
        <v>120.9</v>
      </c>
      <c r="AC132" s="1">
        <v>119.9</v>
      </c>
      <c r="AD132" s="1">
        <v>128.4</v>
      </c>
    </row>
    <row r="133" spans="1:30" ht="12.5" x14ac:dyDescent="0.25">
      <c r="A133" s="1" t="s">
        <v>34</v>
      </c>
      <c r="B133" s="1">
        <v>2016</v>
      </c>
      <c r="C133" s="1" t="s">
        <v>41</v>
      </c>
      <c r="D133" s="1">
        <v>129.30000000000001</v>
      </c>
      <c r="E133" s="1">
        <v>139.30000000000001</v>
      </c>
      <c r="F133" s="1">
        <v>131.6</v>
      </c>
      <c r="G133" s="1">
        <v>134.1</v>
      </c>
      <c r="H133" s="1">
        <v>116.9</v>
      </c>
      <c r="I133" s="1">
        <v>138.1</v>
      </c>
      <c r="J133" s="1">
        <v>159.1</v>
      </c>
      <c r="K133" s="1">
        <v>175.6</v>
      </c>
      <c r="L133" s="1">
        <v>112.9</v>
      </c>
      <c r="M133" s="1">
        <v>138.1</v>
      </c>
      <c r="N133" s="1">
        <v>125.5</v>
      </c>
      <c r="O133" s="1">
        <v>139.5</v>
      </c>
      <c r="P133" s="1">
        <v>137.9</v>
      </c>
      <c r="Q133" s="1">
        <v>140.19999999999999</v>
      </c>
      <c r="R133" s="1">
        <v>134.1</v>
      </c>
      <c r="S133" s="1">
        <v>128.19999999999999</v>
      </c>
      <c r="T133" s="1">
        <v>133.19999999999999</v>
      </c>
      <c r="U133" s="1">
        <v>127.3</v>
      </c>
      <c r="V133" s="1">
        <v>123.6</v>
      </c>
      <c r="W133" s="1">
        <v>127.4</v>
      </c>
      <c r="X133" s="1">
        <v>124.8</v>
      </c>
      <c r="Y133" s="1">
        <v>113.1</v>
      </c>
      <c r="Z133" s="1">
        <v>122.7</v>
      </c>
      <c r="AA133" s="1">
        <v>131.69999999999999</v>
      </c>
      <c r="AB133" s="1">
        <v>121.5</v>
      </c>
      <c r="AC133" s="1">
        <v>122.1</v>
      </c>
      <c r="AD133" s="1">
        <v>131.1</v>
      </c>
    </row>
    <row r="134" spans="1:30" ht="12.5" x14ac:dyDescent="0.25">
      <c r="A134" s="1" t="s">
        <v>30</v>
      </c>
      <c r="B134" s="1">
        <v>2016</v>
      </c>
      <c r="C134" s="1" t="s">
        <v>42</v>
      </c>
      <c r="D134" s="1">
        <v>130.80000000000001</v>
      </c>
      <c r="E134" s="1">
        <v>138.19999999999999</v>
      </c>
      <c r="F134" s="1">
        <v>130.5</v>
      </c>
      <c r="G134" s="1">
        <v>135.5</v>
      </c>
      <c r="H134" s="1">
        <v>120.2</v>
      </c>
      <c r="I134" s="1">
        <v>139.19999999999999</v>
      </c>
      <c r="J134" s="1">
        <v>149.5</v>
      </c>
      <c r="K134" s="1">
        <v>170.4</v>
      </c>
      <c r="L134" s="1">
        <v>113.1</v>
      </c>
      <c r="M134" s="1">
        <v>135.80000000000001</v>
      </c>
      <c r="N134" s="1">
        <v>128.80000000000001</v>
      </c>
      <c r="O134" s="1">
        <v>141.5</v>
      </c>
      <c r="P134" s="1">
        <v>137.19999999999999</v>
      </c>
      <c r="Q134" s="1">
        <v>139.9</v>
      </c>
      <c r="R134" s="1">
        <v>138.5</v>
      </c>
      <c r="S134" s="1">
        <v>133.5</v>
      </c>
      <c r="T134" s="1">
        <v>137.80000000000001</v>
      </c>
      <c r="U134" s="1" t="s">
        <v>32</v>
      </c>
      <c r="V134" s="1">
        <v>129.69999999999999</v>
      </c>
      <c r="W134" s="1">
        <v>131.1</v>
      </c>
      <c r="X134" s="1">
        <v>127.8</v>
      </c>
      <c r="Y134" s="1">
        <v>117</v>
      </c>
      <c r="Z134" s="1">
        <v>125.7</v>
      </c>
      <c r="AA134" s="1">
        <v>132.19999999999999</v>
      </c>
      <c r="AB134" s="1">
        <v>122.8</v>
      </c>
      <c r="AC134" s="1">
        <v>124.9</v>
      </c>
      <c r="AD134" s="1">
        <v>133.4</v>
      </c>
    </row>
    <row r="135" spans="1:30" ht="12.5" x14ac:dyDescent="0.25">
      <c r="A135" s="1" t="s">
        <v>33</v>
      </c>
      <c r="B135" s="1">
        <v>2016</v>
      </c>
      <c r="C135" s="1" t="s">
        <v>42</v>
      </c>
      <c r="D135" s="1">
        <v>128.1</v>
      </c>
      <c r="E135" s="1">
        <v>137.69999999999999</v>
      </c>
      <c r="F135" s="1">
        <v>130.6</v>
      </c>
      <c r="G135" s="1">
        <v>132.6</v>
      </c>
      <c r="H135" s="1">
        <v>111.9</v>
      </c>
      <c r="I135" s="1">
        <v>132.5</v>
      </c>
      <c r="J135" s="1">
        <v>152.9</v>
      </c>
      <c r="K135" s="1">
        <v>173.6</v>
      </c>
      <c r="L135" s="1">
        <v>115.1</v>
      </c>
      <c r="M135" s="1">
        <v>144.80000000000001</v>
      </c>
      <c r="N135" s="1">
        <v>122.1</v>
      </c>
      <c r="O135" s="1">
        <v>138.80000000000001</v>
      </c>
      <c r="P135" s="1">
        <v>135.69999999999999</v>
      </c>
      <c r="Q135" s="1">
        <v>143.9</v>
      </c>
      <c r="R135" s="1">
        <v>128.69999999999999</v>
      </c>
      <c r="S135" s="1">
        <v>121.6</v>
      </c>
      <c r="T135" s="1">
        <v>127.7</v>
      </c>
      <c r="U135" s="1">
        <v>127.9</v>
      </c>
      <c r="V135" s="1">
        <v>114.8</v>
      </c>
      <c r="W135" s="1">
        <v>124.3</v>
      </c>
      <c r="X135" s="1">
        <v>121.4</v>
      </c>
      <c r="Y135" s="1">
        <v>111.8</v>
      </c>
      <c r="Z135" s="1">
        <v>120.8</v>
      </c>
      <c r="AA135" s="1">
        <v>131.6</v>
      </c>
      <c r="AB135" s="1">
        <v>121.2</v>
      </c>
      <c r="AC135" s="1">
        <v>120.5</v>
      </c>
      <c r="AD135" s="1">
        <v>128</v>
      </c>
    </row>
    <row r="136" spans="1:30" ht="12.5" x14ac:dyDescent="0.25">
      <c r="A136" s="1" t="s">
        <v>34</v>
      </c>
      <c r="B136" s="1">
        <v>2016</v>
      </c>
      <c r="C136" s="1" t="s">
        <v>42</v>
      </c>
      <c r="D136" s="1">
        <v>129.9</v>
      </c>
      <c r="E136" s="1">
        <v>138</v>
      </c>
      <c r="F136" s="1">
        <v>130.5</v>
      </c>
      <c r="G136" s="1">
        <v>134.4</v>
      </c>
      <c r="H136" s="1">
        <v>117.2</v>
      </c>
      <c r="I136" s="1">
        <v>136.1</v>
      </c>
      <c r="J136" s="1">
        <v>150.69999999999999</v>
      </c>
      <c r="K136" s="1">
        <v>171.5</v>
      </c>
      <c r="L136" s="1">
        <v>113.8</v>
      </c>
      <c r="M136" s="1">
        <v>138.80000000000001</v>
      </c>
      <c r="N136" s="1">
        <v>126</v>
      </c>
      <c r="O136" s="1">
        <v>140.19999999999999</v>
      </c>
      <c r="P136" s="1">
        <v>136.6</v>
      </c>
      <c r="Q136" s="1">
        <v>141</v>
      </c>
      <c r="R136" s="1">
        <v>134.6</v>
      </c>
      <c r="S136" s="1">
        <v>128.6</v>
      </c>
      <c r="T136" s="1">
        <v>133.80000000000001</v>
      </c>
      <c r="U136" s="1">
        <v>127.9</v>
      </c>
      <c r="V136" s="1">
        <v>124.1</v>
      </c>
      <c r="W136" s="1">
        <v>127.9</v>
      </c>
      <c r="X136" s="1">
        <v>125.4</v>
      </c>
      <c r="Y136" s="1">
        <v>114.3</v>
      </c>
      <c r="Z136" s="1">
        <v>122.9</v>
      </c>
      <c r="AA136" s="1">
        <v>131.80000000000001</v>
      </c>
      <c r="AB136" s="1">
        <v>122.1</v>
      </c>
      <c r="AC136" s="1">
        <v>122.8</v>
      </c>
      <c r="AD136" s="1">
        <v>130.9</v>
      </c>
    </row>
    <row r="137" spans="1:30" ht="12.5" x14ac:dyDescent="0.25">
      <c r="A137" s="1" t="s">
        <v>30</v>
      </c>
      <c r="B137" s="1">
        <v>2016</v>
      </c>
      <c r="C137" s="1" t="s">
        <v>43</v>
      </c>
      <c r="D137" s="1">
        <v>131.30000000000001</v>
      </c>
      <c r="E137" s="1">
        <v>137.6</v>
      </c>
      <c r="F137" s="1">
        <v>130.1</v>
      </c>
      <c r="G137" s="1">
        <v>136</v>
      </c>
      <c r="H137" s="1">
        <v>120.8</v>
      </c>
      <c r="I137" s="1">
        <v>138.4</v>
      </c>
      <c r="J137" s="1">
        <v>149.19999999999999</v>
      </c>
      <c r="K137" s="1">
        <v>170.2</v>
      </c>
      <c r="L137" s="1">
        <v>113.4</v>
      </c>
      <c r="M137" s="1">
        <v>136.30000000000001</v>
      </c>
      <c r="N137" s="1">
        <v>128.69999999999999</v>
      </c>
      <c r="O137" s="1">
        <v>142.4</v>
      </c>
      <c r="P137" s="1">
        <v>137.4</v>
      </c>
      <c r="Q137" s="1">
        <v>140.9</v>
      </c>
      <c r="R137" s="1">
        <v>139.6</v>
      </c>
      <c r="S137" s="1">
        <v>134.30000000000001</v>
      </c>
      <c r="T137" s="1">
        <v>138.80000000000001</v>
      </c>
      <c r="U137" s="1" t="s">
        <v>32</v>
      </c>
      <c r="V137" s="1">
        <v>129.80000000000001</v>
      </c>
      <c r="W137" s="1">
        <v>131.80000000000001</v>
      </c>
      <c r="X137" s="1">
        <v>128.69999999999999</v>
      </c>
      <c r="Y137" s="1">
        <v>117.8</v>
      </c>
      <c r="Z137" s="1">
        <v>126.5</v>
      </c>
      <c r="AA137" s="1">
        <v>133</v>
      </c>
      <c r="AB137" s="1">
        <v>123</v>
      </c>
      <c r="AC137" s="1">
        <v>125.7</v>
      </c>
      <c r="AD137" s="1">
        <v>133.80000000000001</v>
      </c>
    </row>
    <row r="138" spans="1:30" ht="12.5" x14ac:dyDescent="0.25">
      <c r="A138" s="1" t="s">
        <v>33</v>
      </c>
      <c r="B138" s="1">
        <v>2016</v>
      </c>
      <c r="C138" s="1" t="s">
        <v>43</v>
      </c>
      <c r="D138" s="1">
        <v>128.69999999999999</v>
      </c>
      <c r="E138" s="1">
        <v>138.4</v>
      </c>
      <c r="F138" s="1">
        <v>130.30000000000001</v>
      </c>
      <c r="G138" s="1">
        <v>132.69999999999999</v>
      </c>
      <c r="H138" s="1">
        <v>112.5</v>
      </c>
      <c r="I138" s="1">
        <v>130.4</v>
      </c>
      <c r="J138" s="1">
        <v>155.1</v>
      </c>
      <c r="K138" s="1">
        <v>175.7</v>
      </c>
      <c r="L138" s="1">
        <v>115.4</v>
      </c>
      <c r="M138" s="1">
        <v>145.30000000000001</v>
      </c>
      <c r="N138" s="1">
        <v>122.5</v>
      </c>
      <c r="O138" s="1">
        <v>139.6</v>
      </c>
      <c r="P138" s="1">
        <v>136.30000000000001</v>
      </c>
      <c r="Q138" s="1">
        <v>144.30000000000001</v>
      </c>
      <c r="R138" s="1">
        <v>129.1</v>
      </c>
      <c r="S138" s="1">
        <v>121.9</v>
      </c>
      <c r="T138" s="1">
        <v>128</v>
      </c>
      <c r="U138" s="1">
        <v>128.69999999999999</v>
      </c>
      <c r="V138" s="1">
        <v>115.2</v>
      </c>
      <c r="W138" s="1">
        <v>124.5</v>
      </c>
      <c r="X138" s="1">
        <v>121.8</v>
      </c>
      <c r="Y138" s="1">
        <v>112.8</v>
      </c>
      <c r="Z138" s="1">
        <v>121.2</v>
      </c>
      <c r="AA138" s="1">
        <v>131.9</v>
      </c>
      <c r="AB138" s="1">
        <v>120.8</v>
      </c>
      <c r="AC138" s="1">
        <v>120.9</v>
      </c>
      <c r="AD138" s="1">
        <v>128.6</v>
      </c>
    </row>
    <row r="139" spans="1:30" ht="12.5" x14ac:dyDescent="0.25">
      <c r="A139" s="1" t="s">
        <v>34</v>
      </c>
      <c r="B139" s="1">
        <v>2016</v>
      </c>
      <c r="C139" s="1" t="s">
        <v>43</v>
      </c>
      <c r="D139" s="1">
        <v>130.5</v>
      </c>
      <c r="E139" s="1">
        <v>137.9</v>
      </c>
      <c r="F139" s="1">
        <v>130.19999999999999</v>
      </c>
      <c r="G139" s="1">
        <v>134.80000000000001</v>
      </c>
      <c r="H139" s="1">
        <v>117.8</v>
      </c>
      <c r="I139" s="1">
        <v>134.69999999999999</v>
      </c>
      <c r="J139" s="1">
        <v>151.19999999999999</v>
      </c>
      <c r="K139" s="1">
        <v>172.1</v>
      </c>
      <c r="L139" s="1">
        <v>114.1</v>
      </c>
      <c r="M139" s="1">
        <v>139.30000000000001</v>
      </c>
      <c r="N139" s="1">
        <v>126.1</v>
      </c>
      <c r="O139" s="1">
        <v>141.1</v>
      </c>
      <c r="P139" s="1">
        <v>137</v>
      </c>
      <c r="Q139" s="1">
        <v>141.80000000000001</v>
      </c>
      <c r="R139" s="1">
        <v>135.5</v>
      </c>
      <c r="S139" s="1">
        <v>129.1</v>
      </c>
      <c r="T139" s="1">
        <v>134.5</v>
      </c>
      <c r="U139" s="1">
        <v>128.69999999999999</v>
      </c>
      <c r="V139" s="1">
        <v>124.3</v>
      </c>
      <c r="W139" s="1">
        <v>128.4</v>
      </c>
      <c r="X139" s="1">
        <v>126.1</v>
      </c>
      <c r="Y139" s="1">
        <v>115.2</v>
      </c>
      <c r="Z139" s="1">
        <v>123.5</v>
      </c>
      <c r="AA139" s="1">
        <v>132.4</v>
      </c>
      <c r="AB139" s="1">
        <v>122.1</v>
      </c>
      <c r="AC139" s="1">
        <v>123.4</v>
      </c>
      <c r="AD139" s="1">
        <v>131.4</v>
      </c>
    </row>
    <row r="140" spans="1:30" ht="12.5" x14ac:dyDescent="0.25">
      <c r="A140" s="1" t="s">
        <v>30</v>
      </c>
      <c r="B140" s="1">
        <v>2016</v>
      </c>
      <c r="C140" s="1" t="s">
        <v>44</v>
      </c>
      <c r="D140" s="1">
        <v>132</v>
      </c>
      <c r="E140" s="1">
        <v>137.4</v>
      </c>
      <c r="F140" s="1">
        <v>130.6</v>
      </c>
      <c r="G140" s="1">
        <v>136.19999999999999</v>
      </c>
      <c r="H140" s="1">
        <v>121.1</v>
      </c>
      <c r="I140" s="1">
        <v>136.9</v>
      </c>
      <c r="J140" s="1">
        <v>141.80000000000001</v>
      </c>
      <c r="K140" s="1">
        <v>170</v>
      </c>
      <c r="L140" s="1">
        <v>113.4</v>
      </c>
      <c r="M140" s="1">
        <v>136.80000000000001</v>
      </c>
      <c r="N140" s="1">
        <v>128.69999999999999</v>
      </c>
      <c r="O140" s="1">
        <v>143.1</v>
      </c>
      <c r="P140" s="1">
        <v>136.6</v>
      </c>
      <c r="Q140" s="1">
        <v>141.19999999999999</v>
      </c>
      <c r="R140" s="1">
        <v>139.9</v>
      </c>
      <c r="S140" s="1">
        <v>134.5</v>
      </c>
      <c r="T140" s="1">
        <v>139.19999999999999</v>
      </c>
      <c r="U140" s="1" t="s">
        <v>32</v>
      </c>
      <c r="V140" s="1">
        <v>130.30000000000001</v>
      </c>
      <c r="W140" s="1">
        <v>132.1</v>
      </c>
      <c r="X140" s="1">
        <v>129.1</v>
      </c>
      <c r="Y140" s="1">
        <v>118.2</v>
      </c>
      <c r="Z140" s="1">
        <v>126.9</v>
      </c>
      <c r="AA140" s="1">
        <v>133.69999999999999</v>
      </c>
      <c r="AB140" s="1">
        <v>123.5</v>
      </c>
      <c r="AC140" s="1">
        <v>126.1</v>
      </c>
      <c r="AD140" s="1">
        <v>133.6</v>
      </c>
    </row>
    <row r="141" spans="1:30" ht="12.5" x14ac:dyDescent="0.25">
      <c r="A141" s="1" t="s">
        <v>33</v>
      </c>
      <c r="B141" s="1">
        <v>2016</v>
      </c>
      <c r="C141" s="1" t="s">
        <v>44</v>
      </c>
      <c r="D141" s="1">
        <v>130.19999999999999</v>
      </c>
      <c r="E141" s="1">
        <v>138.5</v>
      </c>
      <c r="F141" s="1">
        <v>134.1</v>
      </c>
      <c r="G141" s="1">
        <v>132.9</v>
      </c>
      <c r="H141" s="1">
        <v>112.6</v>
      </c>
      <c r="I141" s="1">
        <v>130.80000000000001</v>
      </c>
      <c r="J141" s="1">
        <v>142</v>
      </c>
      <c r="K141" s="1">
        <v>174.9</v>
      </c>
      <c r="L141" s="1">
        <v>115.6</v>
      </c>
      <c r="M141" s="1">
        <v>145.4</v>
      </c>
      <c r="N141" s="1">
        <v>122.7</v>
      </c>
      <c r="O141" s="1">
        <v>140.30000000000001</v>
      </c>
      <c r="P141" s="1">
        <v>135.19999999999999</v>
      </c>
      <c r="Q141" s="1">
        <v>144.30000000000001</v>
      </c>
      <c r="R141" s="1">
        <v>129.6</v>
      </c>
      <c r="S141" s="1">
        <v>122.1</v>
      </c>
      <c r="T141" s="1">
        <v>128.5</v>
      </c>
      <c r="U141" s="1">
        <v>129.1</v>
      </c>
      <c r="V141" s="1">
        <v>116.2</v>
      </c>
      <c r="W141" s="1">
        <v>124.7</v>
      </c>
      <c r="X141" s="1">
        <v>122.1</v>
      </c>
      <c r="Y141" s="1">
        <v>113.4</v>
      </c>
      <c r="Z141" s="1">
        <v>121.7</v>
      </c>
      <c r="AA141" s="1">
        <v>132.1</v>
      </c>
      <c r="AB141" s="1">
        <v>121.3</v>
      </c>
      <c r="AC141" s="1">
        <v>121.3</v>
      </c>
      <c r="AD141" s="1">
        <v>128.5</v>
      </c>
    </row>
    <row r="142" spans="1:30" ht="12.5" x14ac:dyDescent="0.25">
      <c r="A142" s="1" t="s">
        <v>34</v>
      </c>
      <c r="B142" s="1">
        <v>2016</v>
      </c>
      <c r="C142" s="1" t="s">
        <v>44</v>
      </c>
      <c r="D142" s="1">
        <v>131.4</v>
      </c>
      <c r="E142" s="1">
        <v>137.80000000000001</v>
      </c>
      <c r="F142" s="1">
        <v>132</v>
      </c>
      <c r="G142" s="1">
        <v>135</v>
      </c>
      <c r="H142" s="1">
        <v>118</v>
      </c>
      <c r="I142" s="1">
        <v>134.1</v>
      </c>
      <c r="J142" s="1">
        <v>141.9</v>
      </c>
      <c r="K142" s="1">
        <v>171.7</v>
      </c>
      <c r="L142" s="1">
        <v>114.1</v>
      </c>
      <c r="M142" s="1">
        <v>139.69999999999999</v>
      </c>
      <c r="N142" s="1">
        <v>126.2</v>
      </c>
      <c r="O142" s="1">
        <v>141.80000000000001</v>
      </c>
      <c r="P142" s="1">
        <v>136.1</v>
      </c>
      <c r="Q142" s="1">
        <v>142</v>
      </c>
      <c r="R142" s="1">
        <v>135.80000000000001</v>
      </c>
      <c r="S142" s="1">
        <v>129.30000000000001</v>
      </c>
      <c r="T142" s="1">
        <v>135</v>
      </c>
      <c r="U142" s="1">
        <v>129.1</v>
      </c>
      <c r="V142" s="1">
        <v>125</v>
      </c>
      <c r="W142" s="1">
        <v>128.6</v>
      </c>
      <c r="X142" s="1">
        <v>126.4</v>
      </c>
      <c r="Y142" s="1">
        <v>115.7</v>
      </c>
      <c r="Z142" s="1">
        <v>124</v>
      </c>
      <c r="AA142" s="1">
        <v>132.80000000000001</v>
      </c>
      <c r="AB142" s="1">
        <v>122.6</v>
      </c>
      <c r="AC142" s="1">
        <v>123.8</v>
      </c>
      <c r="AD142" s="1">
        <v>131.19999999999999</v>
      </c>
    </row>
    <row r="143" spans="1:30" ht="12.5" x14ac:dyDescent="0.25">
      <c r="A143" s="1" t="s">
        <v>30</v>
      </c>
      <c r="B143" s="1">
        <v>2016</v>
      </c>
      <c r="C143" s="1" t="s">
        <v>45</v>
      </c>
      <c r="D143" s="1">
        <v>132.6</v>
      </c>
      <c r="E143" s="1">
        <v>137.30000000000001</v>
      </c>
      <c r="F143" s="1">
        <v>131.6</v>
      </c>
      <c r="G143" s="1">
        <v>136.30000000000001</v>
      </c>
      <c r="H143" s="1">
        <v>121.6</v>
      </c>
      <c r="I143" s="1">
        <v>135.6</v>
      </c>
      <c r="J143" s="1">
        <v>127.5</v>
      </c>
      <c r="K143" s="1">
        <v>167.9</v>
      </c>
      <c r="L143" s="1">
        <v>113.8</v>
      </c>
      <c r="M143" s="1">
        <v>137.5</v>
      </c>
      <c r="N143" s="1">
        <v>129.1</v>
      </c>
      <c r="O143" s="1">
        <v>143.6</v>
      </c>
      <c r="P143" s="1">
        <v>134.69999999999999</v>
      </c>
      <c r="Q143" s="1">
        <v>142.4</v>
      </c>
      <c r="R143" s="1">
        <v>140.4</v>
      </c>
      <c r="S143" s="1">
        <v>135.19999999999999</v>
      </c>
      <c r="T143" s="1">
        <v>139.69999999999999</v>
      </c>
      <c r="U143" s="1" t="s">
        <v>32</v>
      </c>
      <c r="V143" s="1">
        <v>132</v>
      </c>
      <c r="W143" s="1">
        <v>132.9</v>
      </c>
      <c r="X143" s="1">
        <v>129.69999999999999</v>
      </c>
      <c r="Y143" s="1">
        <v>118.6</v>
      </c>
      <c r="Z143" s="1">
        <v>127.3</v>
      </c>
      <c r="AA143" s="1">
        <v>134.19999999999999</v>
      </c>
      <c r="AB143" s="1">
        <v>121.9</v>
      </c>
      <c r="AC143" s="1">
        <v>126.3</v>
      </c>
      <c r="AD143" s="1">
        <v>132.80000000000001</v>
      </c>
    </row>
    <row r="144" spans="1:30" ht="12.5" x14ac:dyDescent="0.25">
      <c r="A144" s="1" t="s">
        <v>33</v>
      </c>
      <c r="B144" s="1">
        <v>2016</v>
      </c>
      <c r="C144" s="1" t="s">
        <v>45</v>
      </c>
      <c r="D144" s="1">
        <v>131.6</v>
      </c>
      <c r="E144" s="1">
        <v>138.19999999999999</v>
      </c>
      <c r="F144" s="1">
        <v>134.9</v>
      </c>
      <c r="G144" s="1">
        <v>133.1</v>
      </c>
      <c r="H144" s="1">
        <v>113.5</v>
      </c>
      <c r="I144" s="1">
        <v>129.30000000000001</v>
      </c>
      <c r="J144" s="1">
        <v>121.1</v>
      </c>
      <c r="K144" s="1">
        <v>170.3</v>
      </c>
      <c r="L144" s="1">
        <v>115.5</v>
      </c>
      <c r="M144" s="1">
        <v>145.5</v>
      </c>
      <c r="N144" s="1">
        <v>123.1</v>
      </c>
      <c r="O144" s="1">
        <v>140.9</v>
      </c>
      <c r="P144" s="1">
        <v>132.80000000000001</v>
      </c>
      <c r="Q144" s="1">
        <v>145</v>
      </c>
      <c r="R144" s="1">
        <v>130</v>
      </c>
      <c r="S144" s="1">
        <v>122.2</v>
      </c>
      <c r="T144" s="1">
        <v>128.80000000000001</v>
      </c>
      <c r="U144" s="1">
        <v>128.5</v>
      </c>
      <c r="V144" s="1">
        <v>117.8</v>
      </c>
      <c r="W144" s="1">
        <v>125</v>
      </c>
      <c r="X144" s="1">
        <v>122.3</v>
      </c>
      <c r="Y144" s="1">
        <v>113.7</v>
      </c>
      <c r="Z144" s="1">
        <v>121.8</v>
      </c>
      <c r="AA144" s="1">
        <v>132.30000000000001</v>
      </c>
      <c r="AB144" s="1">
        <v>119.9</v>
      </c>
      <c r="AC144" s="1">
        <v>121.4</v>
      </c>
      <c r="AD144" s="1">
        <v>127.6</v>
      </c>
    </row>
    <row r="145" spans="1:30" ht="12.5" x14ac:dyDescent="0.25">
      <c r="A145" s="1" t="s">
        <v>34</v>
      </c>
      <c r="B145" s="1">
        <v>2016</v>
      </c>
      <c r="C145" s="1" t="s">
        <v>45</v>
      </c>
      <c r="D145" s="1">
        <v>132.30000000000001</v>
      </c>
      <c r="E145" s="1">
        <v>137.6</v>
      </c>
      <c r="F145" s="1">
        <v>132.9</v>
      </c>
      <c r="G145" s="1">
        <v>135.1</v>
      </c>
      <c r="H145" s="1">
        <v>118.6</v>
      </c>
      <c r="I145" s="1">
        <v>132.69999999999999</v>
      </c>
      <c r="J145" s="1">
        <v>125.3</v>
      </c>
      <c r="K145" s="1">
        <v>168.7</v>
      </c>
      <c r="L145" s="1">
        <v>114.4</v>
      </c>
      <c r="M145" s="1">
        <v>140.19999999999999</v>
      </c>
      <c r="N145" s="1">
        <v>126.6</v>
      </c>
      <c r="O145" s="1">
        <v>142.30000000000001</v>
      </c>
      <c r="P145" s="1">
        <v>134</v>
      </c>
      <c r="Q145" s="1">
        <v>143.1</v>
      </c>
      <c r="R145" s="1">
        <v>136.30000000000001</v>
      </c>
      <c r="S145" s="1">
        <v>129.80000000000001</v>
      </c>
      <c r="T145" s="1">
        <v>135.4</v>
      </c>
      <c r="U145" s="1">
        <v>128.5</v>
      </c>
      <c r="V145" s="1">
        <v>126.6</v>
      </c>
      <c r="W145" s="1">
        <v>129.19999999999999</v>
      </c>
      <c r="X145" s="1">
        <v>126.9</v>
      </c>
      <c r="Y145" s="1">
        <v>116</v>
      </c>
      <c r="Z145" s="1">
        <v>124.2</v>
      </c>
      <c r="AA145" s="1">
        <v>133.1</v>
      </c>
      <c r="AB145" s="1">
        <v>121.1</v>
      </c>
      <c r="AC145" s="1">
        <v>123.9</v>
      </c>
      <c r="AD145" s="1">
        <v>130.4</v>
      </c>
    </row>
    <row r="146" spans="1:30" ht="12.5" x14ac:dyDescent="0.25">
      <c r="A146" s="1" t="s">
        <v>30</v>
      </c>
      <c r="B146" s="1">
        <v>2017</v>
      </c>
      <c r="C146" s="1" t="s">
        <v>31</v>
      </c>
      <c r="D146" s="1">
        <v>133.1</v>
      </c>
      <c r="E146" s="1">
        <v>137.80000000000001</v>
      </c>
      <c r="F146" s="1">
        <v>131.9</v>
      </c>
      <c r="G146" s="1">
        <v>136.69999999999999</v>
      </c>
      <c r="H146" s="1">
        <v>122</v>
      </c>
      <c r="I146" s="1">
        <v>136</v>
      </c>
      <c r="J146" s="1">
        <v>119.8</v>
      </c>
      <c r="K146" s="1">
        <v>161.69999999999999</v>
      </c>
      <c r="L146" s="1">
        <v>114.8</v>
      </c>
      <c r="M146" s="1">
        <v>136.9</v>
      </c>
      <c r="N146" s="1">
        <v>129</v>
      </c>
      <c r="O146" s="1">
        <v>143.9</v>
      </c>
      <c r="P146" s="1">
        <v>133.69999999999999</v>
      </c>
      <c r="Q146" s="1">
        <v>143.1</v>
      </c>
      <c r="R146" s="1">
        <v>140.69999999999999</v>
      </c>
      <c r="S146" s="1">
        <v>135.80000000000001</v>
      </c>
      <c r="T146" s="1">
        <v>140</v>
      </c>
      <c r="U146" s="1" t="s">
        <v>32</v>
      </c>
      <c r="V146" s="1">
        <v>132.1</v>
      </c>
      <c r="W146" s="1">
        <v>133.19999999999999</v>
      </c>
      <c r="X146" s="1">
        <v>129.9</v>
      </c>
      <c r="Y146" s="1">
        <v>119.1</v>
      </c>
      <c r="Z146" s="1">
        <v>127</v>
      </c>
      <c r="AA146" s="1">
        <v>134.6</v>
      </c>
      <c r="AB146" s="1">
        <v>122.3</v>
      </c>
      <c r="AC146" s="1">
        <v>126.6</v>
      </c>
      <c r="AD146" s="1">
        <v>132.4</v>
      </c>
    </row>
    <row r="147" spans="1:30" ht="12.5" x14ac:dyDescent="0.25">
      <c r="A147" s="1" t="s">
        <v>33</v>
      </c>
      <c r="B147" s="1">
        <v>2017</v>
      </c>
      <c r="C147" s="1" t="s">
        <v>31</v>
      </c>
      <c r="D147" s="1">
        <v>132.19999999999999</v>
      </c>
      <c r="E147" s="1">
        <v>138.9</v>
      </c>
      <c r="F147" s="1">
        <v>132.6</v>
      </c>
      <c r="G147" s="1">
        <v>133.1</v>
      </c>
      <c r="H147" s="1">
        <v>114</v>
      </c>
      <c r="I147" s="1">
        <v>129.6</v>
      </c>
      <c r="J147" s="1">
        <v>118.7</v>
      </c>
      <c r="K147" s="1">
        <v>155.1</v>
      </c>
      <c r="L147" s="1">
        <v>117.3</v>
      </c>
      <c r="M147" s="1">
        <v>144.9</v>
      </c>
      <c r="N147" s="1">
        <v>123.2</v>
      </c>
      <c r="O147" s="1">
        <v>141.6</v>
      </c>
      <c r="P147" s="1">
        <v>132</v>
      </c>
      <c r="Q147" s="1">
        <v>145.6</v>
      </c>
      <c r="R147" s="1">
        <v>130.19999999999999</v>
      </c>
      <c r="S147" s="1">
        <v>122.3</v>
      </c>
      <c r="T147" s="1">
        <v>129</v>
      </c>
      <c r="U147" s="1">
        <v>129.6</v>
      </c>
      <c r="V147" s="1">
        <v>118</v>
      </c>
      <c r="W147" s="1">
        <v>125.1</v>
      </c>
      <c r="X147" s="1">
        <v>122.6</v>
      </c>
      <c r="Y147" s="1">
        <v>115.2</v>
      </c>
      <c r="Z147" s="1">
        <v>122</v>
      </c>
      <c r="AA147" s="1">
        <v>132.4</v>
      </c>
      <c r="AB147" s="1">
        <v>120.9</v>
      </c>
      <c r="AC147" s="1">
        <v>122.1</v>
      </c>
      <c r="AD147" s="1">
        <v>127.8</v>
      </c>
    </row>
    <row r="148" spans="1:30" ht="12.5" x14ac:dyDescent="0.25">
      <c r="A148" s="1" t="s">
        <v>34</v>
      </c>
      <c r="B148" s="1">
        <v>2017</v>
      </c>
      <c r="C148" s="1" t="s">
        <v>31</v>
      </c>
      <c r="D148" s="1">
        <v>132.80000000000001</v>
      </c>
      <c r="E148" s="1">
        <v>138.19999999999999</v>
      </c>
      <c r="F148" s="1">
        <v>132.19999999999999</v>
      </c>
      <c r="G148" s="1">
        <v>135.4</v>
      </c>
      <c r="H148" s="1">
        <v>119.1</v>
      </c>
      <c r="I148" s="1">
        <v>133</v>
      </c>
      <c r="J148" s="1">
        <v>119.4</v>
      </c>
      <c r="K148" s="1">
        <v>159.5</v>
      </c>
      <c r="L148" s="1">
        <v>115.6</v>
      </c>
      <c r="M148" s="1">
        <v>139.6</v>
      </c>
      <c r="N148" s="1">
        <v>126.6</v>
      </c>
      <c r="O148" s="1">
        <v>142.80000000000001</v>
      </c>
      <c r="P148" s="1">
        <v>133.1</v>
      </c>
      <c r="Q148" s="1">
        <v>143.80000000000001</v>
      </c>
      <c r="R148" s="1">
        <v>136.6</v>
      </c>
      <c r="S148" s="1">
        <v>130.19999999999999</v>
      </c>
      <c r="T148" s="1">
        <v>135.6</v>
      </c>
      <c r="U148" s="1">
        <v>129.6</v>
      </c>
      <c r="V148" s="1">
        <v>126.8</v>
      </c>
      <c r="W148" s="1">
        <v>129.4</v>
      </c>
      <c r="X148" s="1">
        <v>127.1</v>
      </c>
      <c r="Y148" s="1">
        <v>117</v>
      </c>
      <c r="Z148" s="1">
        <v>124.2</v>
      </c>
      <c r="AA148" s="1">
        <v>133.30000000000001</v>
      </c>
      <c r="AB148" s="1">
        <v>121.7</v>
      </c>
      <c r="AC148" s="1">
        <v>124.4</v>
      </c>
      <c r="AD148" s="1">
        <v>130.30000000000001</v>
      </c>
    </row>
    <row r="149" spans="1:30" ht="12.5" x14ac:dyDescent="0.25">
      <c r="A149" s="1" t="s">
        <v>30</v>
      </c>
      <c r="B149" s="1">
        <v>2017</v>
      </c>
      <c r="C149" s="1" t="s">
        <v>35</v>
      </c>
      <c r="D149" s="1">
        <v>133.30000000000001</v>
      </c>
      <c r="E149" s="1">
        <v>138.30000000000001</v>
      </c>
      <c r="F149" s="1">
        <v>129.30000000000001</v>
      </c>
      <c r="G149" s="1">
        <v>137.19999999999999</v>
      </c>
      <c r="H149" s="1">
        <v>122.1</v>
      </c>
      <c r="I149" s="1">
        <v>138.69999999999999</v>
      </c>
      <c r="J149" s="1">
        <v>119.1</v>
      </c>
      <c r="K149" s="1">
        <v>156.9</v>
      </c>
      <c r="L149" s="1">
        <v>116.2</v>
      </c>
      <c r="M149" s="1">
        <v>136</v>
      </c>
      <c r="N149" s="1">
        <v>129.4</v>
      </c>
      <c r="O149" s="1">
        <v>144.4</v>
      </c>
      <c r="P149" s="1">
        <v>133.6</v>
      </c>
      <c r="Q149" s="1">
        <v>143.69999999999999</v>
      </c>
      <c r="R149" s="1">
        <v>140.9</v>
      </c>
      <c r="S149" s="1">
        <v>135.80000000000001</v>
      </c>
      <c r="T149" s="1">
        <v>140.19999999999999</v>
      </c>
      <c r="U149" s="1" t="s">
        <v>32</v>
      </c>
      <c r="V149" s="1">
        <v>133.19999999999999</v>
      </c>
      <c r="W149" s="1">
        <v>133.6</v>
      </c>
      <c r="X149" s="1">
        <v>130.1</v>
      </c>
      <c r="Y149" s="1">
        <v>119.5</v>
      </c>
      <c r="Z149" s="1">
        <v>127.7</v>
      </c>
      <c r="AA149" s="1">
        <v>134.9</v>
      </c>
      <c r="AB149" s="1">
        <v>123.2</v>
      </c>
      <c r="AC149" s="1">
        <v>127</v>
      </c>
      <c r="AD149" s="1">
        <v>132.6</v>
      </c>
    </row>
    <row r="150" spans="1:30" ht="12.5" x14ac:dyDescent="0.25">
      <c r="A150" s="1" t="s">
        <v>33</v>
      </c>
      <c r="B150" s="1">
        <v>2017</v>
      </c>
      <c r="C150" s="1" t="s">
        <v>35</v>
      </c>
      <c r="D150" s="1">
        <v>132.80000000000001</v>
      </c>
      <c r="E150" s="1">
        <v>139.80000000000001</v>
      </c>
      <c r="F150" s="1">
        <v>129.30000000000001</v>
      </c>
      <c r="G150" s="1">
        <v>133.5</v>
      </c>
      <c r="H150" s="1">
        <v>114.3</v>
      </c>
      <c r="I150" s="1">
        <v>131.4</v>
      </c>
      <c r="J150" s="1">
        <v>120.2</v>
      </c>
      <c r="K150" s="1">
        <v>143.1</v>
      </c>
      <c r="L150" s="1">
        <v>119.5</v>
      </c>
      <c r="M150" s="1">
        <v>144</v>
      </c>
      <c r="N150" s="1">
        <v>123.4</v>
      </c>
      <c r="O150" s="1">
        <v>141.9</v>
      </c>
      <c r="P150" s="1">
        <v>132.1</v>
      </c>
      <c r="Q150" s="1">
        <v>146.30000000000001</v>
      </c>
      <c r="R150" s="1">
        <v>130.5</v>
      </c>
      <c r="S150" s="1">
        <v>122.5</v>
      </c>
      <c r="T150" s="1">
        <v>129.30000000000001</v>
      </c>
      <c r="U150" s="1">
        <v>130.5</v>
      </c>
      <c r="V150" s="1">
        <v>119.2</v>
      </c>
      <c r="W150" s="1">
        <v>125.3</v>
      </c>
      <c r="X150" s="1">
        <v>122.9</v>
      </c>
      <c r="Y150" s="1">
        <v>115.5</v>
      </c>
      <c r="Z150" s="1">
        <v>122.2</v>
      </c>
      <c r="AA150" s="1">
        <v>132.4</v>
      </c>
      <c r="AB150" s="1">
        <v>121.7</v>
      </c>
      <c r="AC150" s="1">
        <v>122.4</v>
      </c>
      <c r="AD150" s="1">
        <v>128.19999999999999</v>
      </c>
    </row>
    <row r="151" spans="1:30" ht="12.5" x14ac:dyDescent="0.25">
      <c r="A151" s="1" t="s">
        <v>34</v>
      </c>
      <c r="B151" s="1">
        <v>2017</v>
      </c>
      <c r="C151" s="1" t="s">
        <v>35</v>
      </c>
      <c r="D151" s="1">
        <v>133.1</v>
      </c>
      <c r="E151" s="1">
        <v>138.80000000000001</v>
      </c>
      <c r="F151" s="1">
        <v>129.30000000000001</v>
      </c>
      <c r="G151" s="1">
        <v>135.80000000000001</v>
      </c>
      <c r="H151" s="1">
        <v>119.2</v>
      </c>
      <c r="I151" s="1">
        <v>135.30000000000001</v>
      </c>
      <c r="J151" s="1">
        <v>119.5</v>
      </c>
      <c r="K151" s="1">
        <v>152.19999999999999</v>
      </c>
      <c r="L151" s="1">
        <v>117.3</v>
      </c>
      <c r="M151" s="1">
        <v>138.69999999999999</v>
      </c>
      <c r="N151" s="1">
        <v>126.9</v>
      </c>
      <c r="O151" s="1">
        <v>143.19999999999999</v>
      </c>
      <c r="P151" s="1">
        <v>133</v>
      </c>
      <c r="Q151" s="1">
        <v>144.4</v>
      </c>
      <c r="R151" s="1">
        <v>136.80000000000001</v>
      </c>
      <c r="S151" s="1">
        <v>130.30000000000001</v>
      </c>
      <c r="T151" s="1">
        <v>135.9</v>
      </c>
      <c r="U151" s="1">
        <v>130.5</v>
      </c>
      <c r="V151" s="1">
        <v>127.9</v>
      </c>
      <c r="W151" s="1">
        <v>129.69999999999999</v>
      </c>
      <c r="X151" s="1">
        <v>127.4</v>
      </c>
      <c r="Y151" s="1">
        <v>117.4</v>
      </c>
      <c r="Z151" s="1">
        <v>124.6</v>
      </c>
      <c r="AA151" s="1">
        <v>133.4</v>
      </c>
      <c r="AB151" s="1">
        <v>122.6</v>
      </c>
      <c r="AC151" s="1">
        <v>124.8</v>
      </c>
      <c r="AD151" s="1">
        <v>130.6</v>
      </c>
    </row>
    <row r="152" spans="1:30" ht="12.5" x14ac:dyDescent="0.25">
      <c r="A152" s="1" t="s">
        <v>30</v>
      </c>
      <c r="B152" s="1">
        <v>2017</v>
      </c>
      <c r="C152" s="1" t="s">
        <v>36</v>
      </c>
      <c r="D152" s="1">
        <v>133.6</v>
      </c>
      <c r="E152" s="1">
        <v>138.80000000000001</v>
      </c>
      <c r="F152" s="1">
        <v>128.80000000000001</v>
      </c>
      <c r="G152" s="1">
        <v>137.19999999999999</v>
      </c>
      <c r="H152" s="1">
        <v>121.6</v>
      </c>
      <c r="I152" s="1">
        <v>139.69999999999999</v>
      </c>
      <c r="J152" s="1">
        <v>119.7</v>
      </c>
      <c r="K152" s="1">
        <v>148</v>
      </c>
      <c r="L152" s="1">
        <v>116.9</v>
      </c>
      <c r="M152" s="1">
        <v>135.6</v>
      </c>
      <c r="N152" s="1">
        <v>129.80000000000001</v>
      </c>
      <c r="O152" s="1">
        <v>145.4</v>
      </c>
      <c r="P152" s="1">
        <v>133.4</v>
      </c>
      <c r="Q152" s="1">
        <v>144.19999999999999</v>
      </c>
      <c r="R152" s="1">
        <v>141.6</v>
      </c>
      <c r="S152" s="1">
        <v>136.19999999999999</v>
      </c>
      <c r="T152" s="1">
        <v>140.80000000000001</v>
      </c>
      <c r="U152" s="1" t="s">
        <v>32</v>
      </c>
      <c r="V152" s="1">
        <v>134.19999999999999</v>
      </c>
      <c r="W152" s="1">
        <v>134.1</v>
      </c>
      <c r="X152" s="1">
        <v>130.6</v>
      </c>
      <c r="Y152" s="1">
        <v>119.8</v>
      </c>
      <c r="Z152" s="1">
        <v>128.30000000000001</v>
      </c>
      <c r="AA152" s="1">
        <v>135.19999999999999</v>
      </c>
      <c r="AB152" s="1">
        <v>123.3</v>
      </c>
      <c r="AC152" s="1">
        <v>127.4</v>
      </c>
      <c r="AD152" s="1">
        <v>132.80000000000001</v>
      </c>
    </row>
    <row r="153" spans="1:30" ht="12.5" x14ac:dyDescent="0.25">
      <c r="A153" s="1" t="s">
        <v>33</v>
      </c>
      <c r="B153" s="1">
        <v>2017</v>
      </c>
      <c r="C153" s="1" t="s">
        <v>36</v>
      </c>
      <c r="D153" s="1">
        <v>132.69999999999999</v>
      </c>
      <c r="E153" s="1">
        <v>139.4</v>
      </c>
      <c r="F153" s="1">
        <v>128.4</v>
      </c>
      <c r="G153" s="1">
        <v>134.9</v>
      </c>
      <c r="H153" s="1">
        <v>114</v>
      </c>
      <c r="I153" s="1">
        <v>136.80000000000001</v>
      </c>
      <c r="J153" s="1">
        <v>122.2</v>
      </c>
      <c r="K153" s="1">
        <v>135.80000000000001</v>
      </c>
      <c r="L153" s="1">
        <v>120.3</v>
      </c>
      <c r="M153" s="1">
        <v>142.6</v>
      </c>
      <c r="N153" s="1">
        <v>123.6</v>
      </c>
      <c r="O153" s="1">
        <v>142.4</v>
      </c>
      <c r="P153" s="1">
        <v>132.6</v>
      </c>
      <c r="Q153" s="1">
        <v>147.5</v>
      </c>
      <c r="R153" s="1">
        <v>130.80000000000001</v>
      </c>
      <c r="S153" s="1">
        <v>122.8</v>
      </c>
      <c r="T153" s="1">
        <v>129.6</v>
      </c>
      <c r="U153" s="1">
        <v>131.1</v>
      </c>
      <c r="V153" s="1">
        <v>120.8</v>
      </c>
      <c r="W153" s="1">
        <v>125.6</v>
      </c>
      <c r="X153" s="1">
        <v>123.1</v>
      </c>
      <c r="Y153" s="1">
        <v>115.6</v>
      </c>
      <c r="Z153" s="1">
        <v>122.4</v>
      </c>
      <c r="AA153" s="1">
        <v>132.80000000000001</v>
      </c>
      <c r="AB153" s="1">
        <v>121.7</v>
      </c>
      <c r="AC153" s="1">
        <v>122.6</v>
      </c>
      <c r="AD153" s="1">
        <v>128.69999999999999</v>
      </c>
    </row>
    <row r="154" spans="1:30" ht="12.5" x14ac:dyDescent="0.25">
      <c r="A154" s="1" t="s">
        <v>34</v>
      </c>
      <c r="B154" s="1">
        <v>2017</v>
      </c>
      <c r="C154" s="1" t="s">
        <v>36</v>
      </c>
      <c r="D154" s="1">
        <v>133.30000000000001</v>
      </c>
      <c r="E154" s="1">
        <v>139</v>
      </c>
      <c r="F154" s="1">
        <v>128.6</v>
      </c>
      <c r="G154" s="1">
        <v>136.30000000000001</v>
      </c>
      <c r="H154" s="1">
        <v>118.8</v>
      </c>
      <c r="I154" s="1">
        <v>138.30000000000001</v>
      </c>
      <c r="J154" s="1">
        <v>120.5</v>
      </c>
      <c r="K154" s="1">
        <v>143.9</v>
      </c>
      <c r="L154" s="1">
        <v>118</v>
      </c>
      <c r="M154" s="1">
        <v>137.9</v>
      </c>
      <c r="N154" s="1">
        <v>127.2</v>
      </c>
      <c r="O154" s="1">
        <v>144</v>
      </c>
      <c r="P154" s="1">
        <v>133.1</v>
      </c>
      <c r="Q154" s="1">
        <v>145.1</v>
      </c>
      <c r="R154" s="1">
        <v>137.30000000000001</v>
      </c>
      <c r="S154" s="1">
        <v>130.6</v>
      </c>
      <c r="T154" s="1">
        <v>136.4</v>
      </c>
      <c r="U154" s="1">
        <v>131.1</v>
      </c>
      <c r="V154" s="1">
        <v>129.1</v>
      </c>
      <c r="W154" s="1">
        <v>130.1</v>
      </c>
      <c r="X154" s="1">
        <v>127.8</v>
      </c>
      <c r="Y154" s="1">
        <v>117.6</v>
      </c>
      <c r="Z154" s="1">
        <v>125</v>
      </c>
      <c r="AA154" s="1">
        <v>133.80000000000001</v>
      </c>
      <c r="AB154" s="1">
        <v>122.6</v>
      </c>
      <c r="AC154" s="1">
        <v>125.1</v>
      </c>
      <c r="AD154" s="1">
        <v>130.9</v>
      </c>
    </row>
    <row r="155" spans="1:30" ht="12.5" x14ac:dyDescent="0.25">
      <c r="A155" s="1" t="s">
        <v>30</v>
      </c>
      <c r="B155" s="1">
        <v>2017</v>
      </c>
      <c r="C155" s="1" t="s">
        <v>37</v>
      </c>
      <c r="D155" s="1">
        <v>133.19999999999999</v>
      </c>
      <c r="E155" s="1">
        <v>138.69999999999999</v>
      </c>
      <c r="F155" s="1">
        <v>127.1</v>
      </c>
      <c r="G155" s="1">
        <v>137.69999999999999</v>
      </c>
      <c r="H155" s="1">
        <v>121.3</v>
      </c>
      <c r="I155" s="1">
        <v>141.80000000000001</v>
      </c>
      <c r="J155" s="1">
        <v>121.5</v>
      </c>
      <c r="K155" s="1">
        <v>144.5</v>
      </c>
      <c r="L155" s="1">
        <v>117.4</v>
      </c>
      <c r="M155" s="1">
        <v>134.1</v>
      </c>
      <c r="N155" s="1">
        <v>130</v>
      </c>
      <c r="O155" s="1">
        <v>145.5</v>
      </c>
      <c r="P155" s="1">
        <v>133.5</v>
      </c>
      <c r="Q155" s="1">
        <v>144.4</v>
      </c>
      <c r="R155" s="1">
        <v>142.4</v>
      </c>
      <c r="S155" s="1">
        <v>136.80000000000001</v>
      </c>
      <c r="T155" s="1">
        <v>141.6</v>
      </c>
      <c r="U155" s="1" t="s">
        <v>32</v>
      </c>
      <c r="V155" s="1">
        <v>135</v>
      </c>
      <c r="W155" s="1">
        <v>134.30000000000001</v>
      </c>
      <c r="X155" s="1">
        <v>131</v>
      </c>
      <c r="Y155" s="1">
        <v>119.2</v>
      </c>
      <c r="Z155" s="1">
        <v>128.30000000000001</v>
      </c>
      <c r="AA155" s="1">
        <v>135.69999999999999</v>
      </c>
      <c r="AB155" s="1">
        <v>123.7</v>
      </c>
      <c r="AC155" s="1">
        <v>127.5</v>
      </c>
      <c r="AD155" s="1">
        <v>132.9</v>
      </c>
    </row>
    <row r="156" spans="1:30" ht="12.5" x14ac:dyDescent="0.25">
      <c r="A156" s="1" t="s">
        <v>33</v>
      </c>
      <c r="B156" s="1">
        <v>2017</v>
      </c>
      <c r="C156" s="1" t="s">
        <v>37</v>
      </c>
      <c r="D156" s="1">
        <v>132.69999999999999</v>
      </c>
      <c r="E156" s="1">
        <v>140.6</v>
      </c>
      <c r="F156" s="1">
        <v>124.5</v>
      </c>
      <c r="G156" s="1">
        <v>136.30000000000001</v>
      </c>
      <c r="H156" s="1">
        <v>113.5</v>
      </c>
      <c r="I156" s="1">
        <v>137.69999999999999</v>
      </c>
      <c r="J156" s="1">
        <v>127.1</v>
      </c>
      <c r="K156" s="1">
        <v>133.80000000000001</v>
      </c>
      <c r="L156" s="1">
        <v>120.8</v>
      </c>
      <c r="M156" s="1">
        <v>141.30000000000001</v>
      </c>
      <c r="N156" s="1">
        <v>123.8</v>
      </c>
      <c r="O156" s="1">
        <v>142.6</v>
      </c>
      <c r="P156" s="1">
        <v>133.4</v>
      </c>
      <c r="Q156" s="1">
        <v>148</v>
      </c>
      <c r="R156" s="1">
        <v>131.19999999999999</v>
      </c>
      <c r="S156" s="1">
        <v>123</v>
      </c>
      <c r="T156" s="1">
        <v>130</v>
      </c>
      <c r="U156" s="1">
        <v>131.69999999999999</v>
      </c>
      <c r="V156" s="1">
        <v>121.4</v>
      </c>
      <c r="W156" s="1">
        <v>126</v>
      </c>
      <c r="X156" s="1">
        <v>123.4</v>
      </c>
      <c r="Y156" s="1">
        <v>114.3</v>
      </c>
      <c r="Z156" s="1">
        <v>122.6</v>
      </c>
      <c r="AA156" s="1">
        <v>133.6</v>
      </c>
      <c r="AB156" s="1">
        <v>122.2</v>
      </c>
      <c r="AC156" s="1">
        <v>122.5</v>
      </c>
      <c r="AD156" s="1">
        <v>129.1</v>
      </c>
    </row>
    <row r="157" spans="1:30" ht="12.5" x14ac:dyDescent="0.25">
      <c r="A157" s="1" t="s">
        <v>34</v>
      </c>
      <c r="B157" s="1">
        <v>2017</v>
      </c>
      <c r="C157" s="1" t="s">
        <v>37</v>
      </c>
      <c r="D157" s="1">
        <v>133</v>
      </c>
      <c r="E157" s="1">
        <v>139.4</v>
      </c>
      <c r="F157" s="1">
        <v>126.1</v>
      </c>
      <c r="G157" s="1">
        <v>137.19999999999999</v>
      </c>
      <c r="H157" s="1">
        <v>118.4</v>
      </c>
      <c r="I157" s="1">
        <v>139.9</v>
      </c>
      <c r="J157" s="1">
        <v>123.4</v>
      </c>
      <c r="K157" s="1">
        <v>140.9</v>
      </c>
      <c r="L157" s="1">
        <v>118.5</v>
      </c>
      <c r="M157" s="1">
        <v>136.5</v>
      </c>
      <c r="N157" s="1">
        <v>127.4</v>
      </c>
      <c r="O157" s="1">
        <v>144.19999999999999</v>
      </c>
      <c r="P157" s="1">
        <v>133.5</v>
      </c>
      <c r="Q157" s="1">
        <v>145.4</v>
      </c>
      <c r="R157" s="1">
        <v>138</v>
      </c>
      <c r="S157" s="1">
        <v>131.1</v>
      </c>
      <c r="T157" s="1">
        <v>137</v>
      </c>
      <c r="U157" s="1">
        <v>131.69999999999999</v>
      </c>
      <c r="V157" s="1">
        <v>129.80000000000001</v>
      </c>
      <c r="W157" s="1">
        <v>130.4</v>
      </c>
      <c r="X157" s="1">
        <v>128.1</v>
      </c>
      <c r="Y157" s="1">
        <v>116.6</v>
      </c>
      <c r="Z157" s="1">
        <v>125.1</v>
      </c>
      <c r="AA157" s="1">
        <v>134.5</v>
      </c>
      <c r="AB157" s="1">
        <v>123.1</v>
      </c>
      <c r="AC157" s="1">
        <v>125.1</v>
      </c>
      <c r="AD157" s="1">
        <v>131.1</v>
      </c>
    </row>
    <row r="158" spans="1:30" ht="12.5" x14ac:dyDescent="0.25">
      <c r="A158" s="1" t="s">
        <v>30</v>
      </c>
      <c r="B158" s="1">
        <v>2017</v>
      </c>
      <c r="C158" s="1" t="s">
        <v>38</v>
      </c>
      <c r="D158" s="1">
        <v>133.1</v>
      </c>
      <c r="E158" s="1">
        <v>140.30000000000001</v>
      </c>
      <c r="F158" s="1">
        <v>126.8</v>
      </c>
      <c r="G158" s="1">
        <v>138.19999999999999</v>
      </c>
      <c r="H158" s="1">
        <v>120.8</v>
      </c>
      <c r="I158" s="1">
        <v>140.19999999999999</v>
      </c>
      <c r="J158" s="1">
        <v>123.8</v>
      </c>
      <c r="K158" s="1">
        <v>141.80000000000001</v>
      </c>
      <c r="L158" s="1">
        <v>118.6</v>
      </c>
      <c r="M158" s="1">
        <v>134</v>
      </c>
      <c r="N158" s="1">
        <v>130.30000000000001</v>
      </c>
      <c r="O158" s="1">
        <v>145.80000000000001</v>
      </c>
      <c r="P158" s="1">
        <v>133.80000000000001</v>
      </c>
      <c r="Q158" s="1">
        <v>145.5</v>
      </c>
      <c r="R158" s="1">
        <v>142.5</v>
      </c>
      <c r="S158" s="1">
        <v>137.30000000000001</v>
      </c>
      <c r="T158" s="1">
        <v>141.80000000000001</v>
      </c>
      <c r="U158" s="1" t="s">
        <v>32</v>
      </c>
      <c r="V158" s="1">
        <v>135</v>
      </c>
      <c r="W158" s="1">
        <v>134.9</v>
      </c>
      <c r="X158" s="1">
        <v>131.4</v>
      </c>
      <c r="Y158" s="1">
        <v>119.4</v>
      </c>
      <c r="Z158" s="1">
        <v>129.4</v>
      </c>
      <c r="AA158" s="1">
        <v>136.30000000000001</v>
      </c>
      <c r="AB158" s="1">
        <v>123.7</v>
      </c>
      <c r="AC158" s="1">
        <v>127.9</v>
      </c>
      <c r="AD158" s="1">
        <v>133.30000000000001</v>
      </c>
    </row>
    <row r="159" spans="1:30" ht="12.5" x14ac:dyDescent="0.25">
      <c r="A159" s="1" t="s">
        <v>33</v>
      </c>
      <c r="B159" s="1">
        <v>2017</v>
      </c>
      <c r="C159" s="1" t="s">
        <v>38</v>
      </c>
      <c r="D159" s="1">
        <v>132.6</v>
      </c>
      <c r="E159" s="1">
        <v>144.1</v>
      </c>
      <c r="F159" s="1">
        <v>125.6</v>
      </c>
      <c r="G159" s="1">
        <v>136.80000000000001</v>
      </c>
      <c r="H159" s="1">
        <v>113.4</v>
      </c>
      <c r="I159" s="1">
        <v>135.19999999999999</v>
      </c>
      <c r="J159" s="1">
        <v>129.19999999999999</v>
      </c>
      <c r="K159" s="1">
        <v>131.5</v>
      </c>
      <c r="L159" s="1">
        <v>121</v>
      </c>
      <c r="M159" s="1">
        <v>139.9</v>
      </c>
      <c r="N159" s="1">
        <v>123.8</v>
      </c>
      <c r="O159" s="1">
        <v>142.9</v>
      </c>
      <c r="P159" s="1">
        <v>133.6</v>
      </c>
      <c r="Q159" s="1">
        <v>148.30000000000001</v>
      </c>
      <c r="R159" s="1">
        <v>131.5</v>
      </c>
      <c r="S159" s="1">
        <v>123.2</v>
      </c>
      <c r="T159" s="1">
        <v>130.19999999999999</v>
      </c>
      <c r="U159" s="1">
        <v>132.1</v>
      </c>
      <c r="V159" s="1">
        <v>120.1</v>
      </c>
      <c r="W159" s="1">
        <v>126.5</v>
      </c>
      <c r="X159" s="1">
        <v>123.6</v>
      </c>
      <c r="Y159" s="1">
        <v>114.3</v>
      </c>
      <c r="Z159" s="1">
        <v>122.8</v>
      </c>
      <c r="AA159" s="1">
        <v>133.80000000000001</v>
      </c>
      <c r="AB159" s="1">
        <v>122</v>
      </c>
      <c r="AC159" s="1">
        <v>122.6</v>
      </c>
      <c r="AD159" s="1">
        <v>129.30000000000001</v>
      </c>
    </row>
    <row r="160" spans="1:30" ht="12.5" x14ac:dyDescent="0.25">
      <c r="A160" s="1" t="s">
        <v>34</v>
      </c>
      <c r="B160" s="1">
        <v>2017</v>
      </c>
      <c r="C160" s="1" t="s">
        <v>38</v>
      </c>
      <c r="D160" s="1">
        <v>132.9</v>
      </c>
      <c r="E160" s="1">
        <v>141.6</v>
      </c>
      <c r="F160" s="1">
        <v>126.3</v>
      </c>
      <c r="G160" s="1">
        <v>137.69999999999999</v>
      </c>
      <c r="H160" s="1">
        <v>118.1</v>
      </c>
      <c r="I160" s="1">
        <v>137.9</v>
      </c>
      <c r="J160" s="1">
        <v>125.6</v>
      </c>
      <c r="K160" s="1">
        <v>138.30000000000001</v>
      </c>
      <c r="L160" s="1">
        <v>119.4</v>
      </c>
      <c r="M160" s="1">
        <v>136</v>
      </c>
      <c r="N160" s="1">
        <v>127.6</v>
      </c>
      <c r="O160" s="1">
        <v>144.5</v>
      </c>
      <c r="P160" s="1">
        <v>133.69999999999999</v>
      </c>
      <c r="Q160" s="1">
        <v>146.19999999999999</v>
      </c>
      <c r="R160" s="1">
        <v>138.19999999999999</v>
      </c>
      <c r="S160" s="1">
        <v>131.4</v>
      </c>
      <c r="T160" s="1">
        <v>137.19999999999999</v>
      </c>
      <c r="U160" s="1">
        <v>132.1</v>
      </c>
      <c r="V160" s="1">
        <v>129.4</v>
      </c>
      <c r="W160" s="1">
        <v>130.9</v>
      </c>
      <c r="X160" s="1">
        <v>128.4</v>
      </c>
      <c r="Y160" s="1">
        <v>116.7</v>
      </c>
      <c r="Z160" s="1">
        <v>125.7</v>
      </c>
      <c r="AA160" s="1">
        <v>134.80000000000001</v>
      </c>
      <c r="AB160" s="1">
        <v>123</v>
      </c>
      <c r="AC160" s="1">
        <v>125.3</v>
      </c>
      <c r="AD160" s="1">
        <v>131.4</v>
      </c>
    </row>
    <row r="161" spans="1:30" ht="12.5" x14ac:dyDescent="0.25">
      <c r="A161" s="1" t="s">
        <v>30</v>
      </c>
      <c r="B161" s="1">
        <v>2017</v>
      </c>
      <c r="C161" s="1" t="s">
        <v>39</v>
      </c>
      <c r="D161" s="1">
        <v>133.5</v>
      </c>
      <c r="E161" s="1">
        <v>143.69999999999999</v>
      </c>
      <c r="F161" s="1">
        <v>128</v>
      </c>
      <c r="G161" s="1">
        <v>138.6</v>
      </c>
      <c r="H161" s="1">
        <v>120.9</v>
      </c>
      <c r="I161" s="1">
        <v>140.9</v>
      </c>
      <c r="J161" s="1">
        <v>128.80000000000001</v>
      </c>
      <c r="K161" s="1">
        <v>140.19999999999999</v>
      </c>
      <c r="L161" s="1">
        <v>118.9</v>
      </c>
      <c r="M161" s="1">
        <v>133.5</v>
      </c>
      <c r="N161" s="1">
        <v>130.4</v>
      </c>
      <c r="O161" s="1">
        <v>146.5</v>
      </c>
      <c r="P161" s="1">
        <v>134.9</v>
      </c>
      <c r="Q161" s="1">
        <v>145.80000000000001</v>
      </c>
      <c r="R161" s="1">
        <v>143.1</v>
      </c>
      <c r="S161" s="1">
        <v>137.69999999999999</v>
      </c>
      <c r="T161" s="1">
        <v>142.30000000000001</v>
      </c>
      <c r="U161" s="1" t="s">
        <v>32</v>
      </c>
      <c r="V161" s="1">
        <v>134.80000000000001</v>
      </c>
      <c r="W161" s="1">
        <v>135.19999999999999</v>
      </c>
      <c r="X161" s="1">
        <v>131.30000000000001</v>
      </c>
      <c r="Y161" s="1">
        <v>119.4</v>
      </c>
      <c r="Z161" s="1">
        <v>129.80000000000001</v>
      </c>
      <c r="AA161" s="1">
        <v>136.9</v>
      </c>
      <c r="AB161" s="1">
        <v>124.1</v>
      </c>
      <c r="AC161" s="1">
        <v>128.1</v>
      </c>
      <c r="AD161" s="1">
        <v>133.9</v>
      </c>
    </row>
    <row r="162" spans="1:30" ht="12.5" x14ac:dyDescent="0.25">
      <c r="A162" s="1" t="s">
        <v>33</v>
      </c>
      <c r="B162" s="1">
        <v>2017</v>
      </c>
      <c r="C162" s="1" t="s">
        <v>39</v>
      </c>
      <c r="D162" s="1">
        <v>132.9</v>
      </c>
      <c r="E162" s="1">
        <v>148.69999999999999</v>
      </c>
      <c r="F162" s="1">
        <v>128.30000000000001</v>
      </c>
      <c r="G162" s="1">
        <v>137.30000000000001</v>
      </c>
      <c r="H162" s="1">
        <v>113.5</v>
      </c>
      <c r="I162" s="1">
        <v>137.19999999999999</v>
      </c>
      <c r="J162" s="1">
        <v>142.19999999999999</v>
      </c>
      <c r="K162" s="1">
        <v>128.19999999999999</v>
      </c>
      <c r="L162" s="1">
        <v>120.9</v>
      </c>
      <c r="M162" s="1">
        <v>138.80000000000001</v>
      </c>
      <c r="N162" s="1">
        <v>124.2</v>
      </c>
      <c r="O162" s="1">
        <v>143.1</v>
      </c>
      <c r="P162" s="1">
        <v>135.69999999999999</v>
      </c>
      <c r="Q162" s="1">
        <v>148.6</v>
      </c>
      <c r="R162" s="1">
        <v>131.5</v>
      </c>
      <c r="S162" s="1">
        <v>123.2</v>
      </c>
      <c r="T162" s="1">
        <v>130.19999999999999</v>
      </c>
      <c r="U162" s="1">
        <v>131.4</v>
      </c>
      <c r="V162" s="1">
        <v>119</v>
      </c>
      <c r="W162" s="1">
        <v>126.8</v>
      </c>
      <c r="X162" s="1">
        <v>123.8</v>
      </c>
      <c r="Y162" s="1">
        <v>113.9</v>
      </c>
      <c r="Z162" s="1">
        <v>122.9</v>
      </c>
      <c r="AA162" s="1">
        <v>134.30000000000001</v>
      </c>
      <c r="AB162" s="1">
        <v>122.5</v>
      </c>
      <c r="AC162" s="1">
        <v>122.7</v>
      </c>
      <c r="AD162" s="1">
        <v>129.9</v>
      </c>
    </row>
    <row r="163" spans="1:30" ht="12.5" x14ac:dyDescent="0.25">
      <c r="A163" s="1" t="s">
        <v>34</v>
      </c>
      <c r="B163" s="1">
        <v>2017</v>
      </c>
      <c r="C163" s="1" t="s">
        <v>39</v>
      </c>
      <c r="D163" s="1">
        <v>133.30000000000001</v>
      </c>
      <c r="E163" s="1">
        <v>145.5</v>
      </c>
      <c r="F163" s="1">
        <v>128.1</v>
      </c>
      <c r="G163" s="1">
        <v>138.1</v>
      </c>
      <c r="H163" s="1">
        <v>118.2</v>
      </c>
      <c r="I163" s="1">
        <v>139.19999999999999</v>
      </c>
      <c r="J163" s="1">
        <v>133.30000000000001</v>
      </c>
      <c r="K163" s="1">
        <v>136.19999999999999</v>
      </c>
      <c r="L163" s="1">
        <v>119.6</v>
      </c>
      <c r="M163" s="1">
        <v>135.30000000000001</v>
      </c>
      <c r="N163" s="1">
        <v>127.8</v>
      </c>
      <c r="O163" s="1">
        <v>144.9</v>
      </c>
      <c r="P163" s="1">
        <v>135.19999999999999</v>
      </c>
      <c r="Q163" s="1">
        <v>146.5</v>
      </c>
      <c r="R163" s="1">
        <v>138.5</v>
      </c>
      <c r="S163" s="1">
        <v>131.69999999999999</v>
      </c>
      <c r="T163" s="1">
        <v>137.5</v>
      </c>
      <c r="U163" s="1">
        <v>131.4</v>
      </c>
      <c r="V163" s="1">
        <v>128.80000000000001</v>
      </c>
      <c r="W163" s="1">
        <v>131.19999999999999</v>
      </c>
      <c r="X163" s="1">
        <v>128.5</v>
      </c>
      <c r="Y163" s="1">
        <v>116.5</v>
      </c>
      <c r="Z163" s="1">
        <v>125.9</v>
      </c>
      <c r="AA163" s="1">
        <v>135.4</v>
      </c>
      <c r="AB163" s="1">
        <v>123.4</v>
      </c>
      <c r="AC163" s="1">
        <v>125.5</v>
      </c>
      <c r="AD163" s="1">
        <v>132</v>
      </c>
    </row>
    <row r="164" spans="1:30" ht="12.5" x14ac:dyDescent="0.25">
      <c r="A164" s="1" t="s">
        <v>30</v>
      </c>
      <c r="B164" s="1">
        <v>2017</v>
      </c>
      <c r="C164" s="1" t="s">
        <v>40</v>
      </c>
      <c r="D164" s="1">
        <v>134</v>
      </c>
      <c r="E164" s="1">
        <v>144.19999999999999</v>
      </c>
      <c r="F164" s="1">
        <v>129.80000000000001</v>
      </c>
      <c r="G164" s="1">
        <v>139</v>
      </c>
      <c r="H164" s="1">
        <v>120.9</v>
      </c>
      <c r="I164" s="1">
        <v>143.9</v>
      </c>
      <c r="J164" s="1">
        <v>151.5</v>
      </c>
      <c r="K164" s="1">
        <v>138.1</v>
      </c>
      <c r="L164" s="1">
        <v>120</v>
      </c>
      <c r="M164" s="1">
        <v>133.9</v>
      </c>
      <c r="N164" s="1">
        <v>131.4</v>
      </c>
      <c r="O164" s="1">
        <v>147.69999999999999</v>
      </c>
      <c r="P164" s="1">
        <v>138.5</v>
      </c>
      <c r="Q164" s="1">
        <v>147.4</v>
      </c>
      <c r="R164" s="1">
        <v>144.30000000000001</v>
      </c>
      <c r="S164" s="1">
        <v>138.1</v>
      </c>
      <c r="T164" s="1">
        <v>143.5</v>
      </c>
      <c r="U164" s="1" t="s">
        <v>32</v>
      </c>
      <c r="V164" s="1">
        <v>135.30000000000001</v>
      </c>
      <c r="W164" s="1">
        <v>136.1</v>
      </c>
      <c r="X164" s="1">
        <v>132.1</v>
      </c>
      <c r="Y164" s="1">
        <v>119.1</v>
      </c>
      <c r="Z164" s="1">
        <v>130.6</v>
      </c>
      <c r="AA164" s="1">
        <v>138.6</v>
      </c>
      <c r="AB164" s="1">
        <v>124.4</v>
      </c>
      <c r="AC164" s="1">
        <v>128.6</v>
      </c>
      <c r="AD164" s="1">
        <v>136.19999999999999</v>
      </c>
    </row>
    <row r="165" spans="1:30" ht="12.5" x14ac:dyDescent="0.25">
      <c r="A165" s="1" t="s">
        <v>33</v>
      </c>
      <c r="B165" s="1">
        <v>2017</v>
      </c>
      <c r="C165" s="1" t="s">
        <v>40</v>
      </c>
      <c r="D165" s="1">
        <v>132.80000000000001</v>
      </c>
      <c r="E165" s="1">
        <v>148.4</v>
      </c>
      <c r="F165" s="1">
        <v>129.4</v>
      </c>
      <c r="G165" s="1">
        <v>137.69999999999999</v>
      </c>
      <c r="H165" s="1">
        <v>113.4</v>
      </c>
      <c r="I165" s="1">
        <v>139.4</v>
      </c>
      <c r="J165" s="1">
        <v>175.1</v>
      </c>
      <c r="K165" s="1">
        <v>124.7</v>
      </c>
      <c r="L165" s="1">
        <v>121.5</v>
      </c>
      <c r="M165" s="1">
        <v>137.80000000000001</v>
      </c>
      <c r="N165" s="1">
        <v>124.4</v>
      </c>
      <c r="O165" s="1">
        <v>143.69999999999999</v>
      </c>
      <c r="P165" s="1">
        <v>139.80000000000001</v>
      </c>
      <c r="Q165" s="1">
        <v>150.5</v>
      </c>
      <c r="R165" s="1">
        <v>131.6</v>
      </c>
      <c r="S165" s="1">
        <v>123.7</v>
      </c>
      <c r="T165" s="1">
        <v>130.4</v>
      </c>
      <c r="U165" s="1">
        <v>132.6</v>
      </c>
      <c r="V165" s="1">
        <v>119.7</v>
      </c>
      <c r="W165" s="1">
        <v>127.2</v>
      </c>
      <c r="X165" s="1">
        <v>125</v>
      </c>
      <c r="Y165" s="1">
        <v>113.2</v>
      </c>
      <c r="Z165" s="1">
        <v>123.5</v>
      </c>
      <c r="AA165" s="1">
        <v>135.5</v>
      </c>
      <c r="AB165" s="1">
        <v>122.4</v>
      </c>
      <c r="AC165" s="1">
        <v>123</v>
      </c>
      <c r="AD165" s="1">
        <v>131.80000000000001</v>
      </c>
    </row>
    <row r="166" spans="1:30" ht="12.5" x14ac:dyDescent="0.25">
      <c r="A166" s="1" t="s">
        <v>34</v>
      </c>
      <c r="B166" s="1">
        <v>2017</v>
      </c>
      <c r="C166" s="1" t="s">
        <v>40</v>
      </c>
      <c r="D166" s="1">
        <v>133.6</v>
      </c>
      <c r="E166" s="1">
        <v>145.69999999999999</v>
      </c>
      <c r="F166" s="1">
        <v>129.6</v>
      </c>
      <c r="G166" s="1">
        <v>138.5</v>
      </c>
      <c r="H166" s="1">
        <v>118.1</v>
      </c>
      <c r="I166" s="1">
        <v>141.80000000000001</v>
      </c>
      <c r="J166" s="1">
        <v>159.5</v>
      </c>
      <c r="K166" s="1">
        <v>133.6</v>
      </c>
      <c r="L166" s="1">
        <v>120.5</v>
      </c>
      <c r="M166" s="1">
        <v>135.19999999999999</v>
      </c>
      <c r="N166" s="1">
        <v>128.5</v>
      </c>
      <c r="O166" s="1">
        <v>145.80000000000001</v>
      </c>
      <c r="P166" s="1">
        <v>139</v>
      </c>
      <c r="Q166" s="1">
        <v>148.19999999999999</v>
      </c>
      <c r="R166" s="1">
        <v>139.30000000000001</v>
      </c>
      <c r="S166" s="1">
        <v>132.1</v>
      </c>
      <c r="T166" s="1">
        <v>138.30000000000001</v>
      </c>
      <c r="U166" s="1">
        <v>132.6</v>
      </c>
      <c r="V166" s="1">
        <v>129.4</v>
      </c>
      <c r="W166" s="1">
        <v>131.9</v>
      </c>
      <c r="X166" s="1">
        <v>129.4</v>
      </c>
      <c r="Y166" s="1">
        <v>116</v>
      </c>
      <c r="Z166" s="1">
        <v>126.6</v>
      </c>
      <c r="AA166" s="1">
        <v>136.80000000000001</v>
      </c>
      <c r="AB166" s="1">
        <v>123.6</v>
      </c>
      <c r="AC166" s="1">
        <v>125.9</v>
      </c>
      <c r="AD166" s="1">
        <v>134.19999999999999</v>
      </c>
    </row>
    <row r="167" spans="1:30" ht="12.5" x14ac:dyDescent="0.25">
      <c r="A167" s="1" t="s">
        <v>30</v>
      </c>
      <c r="B167" s="1">
        <v>2017</v>
      </c>
      <c r="C167" s="1" t="s">
        <v>41</v>
      </c>
      <c r="D167" s="1">
        <v>134.80000000000001</v>
      </c>
      <c r="E167" s="1">
        <v>143.1</v>
      </c>
      <c r="F167" s="1">
        <v>130</v>
      </c>
      <c r="G167" s="1">
        <v>139.4</v>
      </c>
      <c r="H167" s="1">
        <v>120.5</v>
      </c>
      <c r="I167" s="1">
        <v>148</v>
      </c>
      <c r="J167" s="1">
        <v>162.9</v>
      </c>
      <c r="K167" s="1">
        <v>137.4</v>
      </c>
      <c r="L167" s="1">
        <v>120.8</v>
      </c>
      <c r="M167" s="1">
        <v>134.69999999999999</v>
      </c>
      <c r="N167" s="1">
        <v>131.6</v>
      </c>
      <c r="O167" s="1">
        <v>148.69999999999999</v>
      </c>
      <c r="P167" s="1">
        <v>140.6</v>
      </c>
      <c r="Q167" s="1">
        <v>149</v>
      </c>
      <c r="R167" s="1">
        <v>145.30000000000001</v>
      </c>
      <c r="S167" s="1">
        <v>139.19999999999999</v>
      </c>
      <c r="T167" s="1">
        <v>144.5</v>
      </c>
      <c r="U167" s="1" t="s">
        <v>32</v>
      </c>
      <c r="V167" s="1">
        <v>136.4</v>
      </c>
      <c r="W167" s="1">
        <v>137.30000000000001</v>
      </c>
      <c r="X167" s="1">
        <v>133</v>
      </c>
      <c r="Y167" s="1">
        <v>120.3</v>
      </c>
      <c r="Z167" s="1">
        <v>131.5</v>
      </c>
      <c r="AA167" s="1">
        <v>140.19999999999999</v>
      </c>
      <c r="AB167" s="1">
        <v>125.4</v>
      </c>
      <c r="AC167" s="1">
        <v>129.69999999999999</v>
      </c>
      <c r="AD167" s="1">
        <v>137.80000000000001</v>
      </c>
    </row>
    <row r="168" spans="1:30" ht="12.5" x14ac:dyDescent="0.25">
      <c r="A168" s="1" t="s">
        <v>33</v>
      </c>
      <c r="B168" s="1">
        <v>2017</v>
      </c>
      <c r="C168" s="1" t="s">
        <v>41</v>
      </c>
      <c r="D168" s="1">
        <v>133.19999999999999</v>
      </c>
      <c r="E168" s="1">
        <v>143.9</v>
      </c>
      <c r="F168" s="1">
        <v>128.30000000000001</v>
      </c>
      <c r="G168" s="1">
        <v>138.30000000000001</v>
      </c>
      <c r="H168" s="1">
        <v>114.1</v>
      </c>
      <c r="I168" s="1">
        <v>142.69999999999999</v>
      </c>
      <c r="J168" s="1">
        <v>179.8</v>
      </c>
      <c r="K168" s="1">
        <v>123.5</v>
      </c>
      <c r="L168" s="1">
        <v>122.1</v>
      </c>
      <c r="M168" s="1">
        <v>137.5</v>
      </c>
      <c r="N168" s="1">
        <v>124.6</v>
      </c>
      <c r="O168" s="1">
        <v>144.5</v>
      </c>
      <c r="P168" s="1">
        <v>140.5</v>
      </c>
      <c r="Q168" s="1">
        <v>152.1</v>
      </c>
      <c r="R168" s="1">
        <v>132.69999999999999</v>
      </c>
      <c r="S168" s="1">
        <v>124.3</v>
      </c>
      <c r="T168" s="1">
        <v>131.4</v>
      </c>
      <c r="U168" s="1">
        <v>134.4</v>
      </c>
      <c r="V168" s="1">
        <v>118.9</v>
      </c>
      <c r="W168" s="1">
        <v>127.7</v>
      </c>
      <c r="X168" s="1">
        <v>125.7</v>
      </c>
      <c r="Y168" s="1">
        <v>114.6</v>
      </c>
      <c r="Z168" s="1">
        <v>124.1</v>
      </c>
      <c r="AA168" s="1">
        <v>135.69999999999999</v>
      </c>
      <c r="AB168" s="1">
        <v>123.3</v>
      </c>
      <c r="AC168" s="1">
        <v>123.8</v>
      </c>
      <c r="AD168" s="1">
        <v>132.69999999999999</v>
      </c>
    </row>
    <row r="169" spans="1:30" ht="12.5" x14ac:dyDescent="0.25">
      <c r="A169" s="1" t="s">
        <v>34</v>
      </c>
      <c r="B169" s="1">
        <v>2017</v>
      </c>
      <c r="C169" s="1" t="s">
        <v>41</v>
      </c>
      <c r="D169" s="1">
        <v>134.30000000000001</v>
      </c>
      <c r="E169" s="1">
        <v>143.4</v>
      </c>
      <c r="F169" s="1">
        <v>129.30000000000001</v>
      </c>
      <c r="G169" s="1">
        <v>139</v>
      </c>
      <c r="H169" s="1">
        <v>118.1</v>
      </c>
      <c r="I169" s="1">
        <v>145.5</v>
      </c>
      <c r="J169" s="1">
        <v>168.6</v>
      </c>
      <c r="K169" s="1">
        <v>132.69999999999999</v>
      </c>
      <c r="L169" s="1">
        <v>121.2</v>
      </c>
      <c r="M169" s="1">
        <v>135.6</v>
      </c>
      <c r="N169" s="1">
        <v>128.69999999999999</v>
      </c>
      <c r="O169" s="1">
        <v>146.80000000000001</v>
      </c>
      <c r="P169" s="1">
        <v>140.6</v>
      </c>
      <c r="Q169" s="1">
        <v>149.80000000000001</v>
      </c>
      <c r="R169" s="1">
        <v>140.30000000000001</v>
      </c>
      <c r="S169" s="1">
        <v>133</v>
      </c>
      <c r="T169" s="1">
        <v>139.30000000000001</v>
      </c>
      <c r="U169" s="1">
        <v>134.4</v>
      </c>
      <c r="V169" s="1">
        <v>129.80000000000001</v>
      </c>
      <c r="W169" s="1">
        <v>132.80000000000001</v>
      </c>
      <c r="X169" s="1">
        <v>130.19999999999999</v>
      </c>
      <c r="Y169" s="1">
        <v>117.3</v>
      </c>
      <c r="Z169" s="1">
        <v>127.3</v>
      </c>
      <c r="AA169" s="1">
        <v>137.6</v>
      </c>
      <c r="AB169" s="1">
        <v>124.5</v>
      </c>
      <c r="AC169" s="1">
        <v>126.8</v>
      </c>
      <c r="AD169" s="1">
        <v>135.4</v>
      </c>
    </row>
    <row r="170" spans="1:30" ht="12.5" x14ac:dyDescent="0.25">
      <c r="A170" s="1" t="s">
        <v>30</v>
      </c>
      <c r="B170" s="1">
        <v>2017</v>
      </c>
      <c r="C170" s="1" t="s">
        <v>42</v>
      </c>
      <c r="D170" s="1">
        <v>135.19999999999999</v>
      </c>
      <c r="E170" s="1">
        <v>142</v>
      </c>
      <c r="F170" s="1">
        <v>130.5</v>
      </c>
      <c r="G170" s="1">
        <v>140.19999999999999</v>
      </c>
      <c r="H170" s="1">
        <v>120.7</v>
      </c>
      <c r="I170" s="1">
        <v>147.80000000000001</v>
      </c>
      <c r="J170" s="1">
        <v>154.5</v>
      </c>
      <c r="K170" s="1">
        <v>137.1</v>
      </c>
      <c r="L170" s="1">
        <v>121</v>
      </c>
      <c r="M170" s="1">
        <v>134.69999999999999</v>
      </c>
      <c r="N170" s="1">
        <v>131.69999999999999</v>
      </c>
      <c r="O170" s="1">
        <v>149.30000000000001</v>
      </c>
      <c r="P170" s="1">
        <v>139.6</v>
      </c>
      <c r="Q170" s="1">
        <v>149.80000000000001</v>
      </c>
      <c r="R170" s="1">
        <v>146.1</v>
      </c>
      <c r="S170" s="1">
        <v>139.69999999999999</v>
      </c>
      <c r="T170" s="1">
        <v>145.19999999999999</v>
      </c>
      <c r="U170" s="1" t="s">
        <v>32</v>
      </c>
      <c r="V170" s="1">
        <v>137.4</v>
      </c>
      <c r="W170" s="1">
        <v>137.9</v>
      </c>
      <c r="X170" s="1">
        <v>133.4</v>
      </c>
      <c r="Y170" s="1">
        <v>121.2</v>
      </c>
      <c r="Z170" s="1">
        <v>132.30000000000001</v>
      </c>
      <c r="AA170" s="1">
        <v>139.6</v>
      </c>
      <c r="AB170" s="1">
        <v>126.7</v>
      </c>
      <c r="AC170" s="1">
        <v>130.30000000000001</v>
      </c>
      <c r="AD170" s="1">
        <v>137.6</v>
      </c>
    </row>
    <row r="171" spans="1:30" ht="12.5" x14ac:dyDescent="0.25">
      <c r="A171" s="1" t="s">
        <v>33</v>
      </c>
      <c r="B171" s="1">
        <v>2017</v>
      </c>
      <c r="C171" s="1" t="s">
        <v>42</v>
      </c>
      <c r="D171" s="1">
        <v>133.6</v>
      </c>
      <c r="E171" s="1">
        <v>143</v>
      </c>
      <c r="F171" s="1">
        <v>129.69999999999999</v>
      </c>
      <c r="G171" s="1">
        <v>138.69999999999999</v>
      </c>
      <c r="H171" s="1">
        <v>114.5</v>
      </c>
      <c r="I171" s="1">
        <v>137.5</v>
      </c>
      <c r="J171" s="1">
        <v>160.69999999999999</v>
      </c>
      <c r="K171" s="1">
        <v>124.5</v>
      </c>
      <c r="L171" s="1">
        <v>122.4</v>
      </c>
      <c r="M171" s="1">
        <v>137.30000000000001</v>
      </c>
      <c r="N171" s="1">
        <v>124.8</v>
      </c>
      <c r="O171" s="1">
        <v>145</v>
      </c>
      <c r="P171" s="1">
        <v>138</v>
      </c>
      <c r="Q171" s="1">
        <v>153.6</v>
      </c>
      <c r="R171" s="1">
        <v>133.30000000000001</v>
      </c>
      <c r="S171" s="1">
        <v>124.6</v>
      </c>
      <c r="T171" s="1">
        <v>132</v>
      </c>
      <c r="U171" s="1">
        <v>135.69999999999999</v>
      </c>
      <c r="V171" s="1">
        <v>120.6</v>
      </c>
      <c r="W171" s="1">
        <v>128.1</v>
      </c>
      <c r="X171" s="1">
        <v>126.1</v>
      </c>
      <c r="Y171" s="1">
        <v>115.7</v>
      </c>
      <c r="Z171" s="1">
        <v>124.5</v>
      </c>
      <c r="AA171" s="1">
        <v>135.9</v>
      </c>
      <c r="AB171" s="1">
        <v>124.4</v>
      </c>
      <c r="AC171" s="1">
        <v>124.5</v>
      </c>
      <c r="AD171" s="1">
        <v>132.4</v>
      </c>
    </row>
    <row r="172" spans="1:30" ht="12.5" x14ac:dyDescent="0.25">
      <c r="A172" s="1" t="s">
        <v>34</v>
      </c>
      <c r="B172" s="1">
        <v>2017</v>
      </c>
      <c r="C172" s="1" t="s">
        <v>42</v>
      </c>
      <c r="D172" s="1">
        <v>134.69999999999999</v>
      </c>
      <c r="E172" s="1">
        <v>142.4</v>
      </c>
      <c r="F172" s="1">
        <v>130.19999999999999</v>
      </c>
      <c r="G172" s="1">
        <v>139.6</v>
      </c>
      <c r="H172" s="1">
        <v>118.4</v>
      </c>
      <c r="I172" s="1">
        <v>143</v>
      </c>
      <c r="J172" s="1">
        <v>156.6</v>
      </c>
      <c r="K172" s="1">
        <v>132.9</v>
      </c>
      <c r="L172" s="1">
        <v>121.5</v>
      </c>
      <c r="M172" s="1">
        <v>135.6</v>
      </c>
      <c r="N172" s="1">
        <v>128.80000000000001</v>
      </c>
      <c r="O172" s="1">
        <v>147.30000000000001</v>
      </c>
      <c r="P172" s="1">
        <v>139</v>
      </c>
      <c r="Q172" s="1">
        <v>150.80000000000001</v>
      </c>
      <c r="R172" s="1">
        <v>141.1</v>
      </c>
      <c r="S172" s="1">
        <v>133.4</v>
      </c>
      <c r="T172" s="1">
        <v>140</v>
      </c>
      <c r="U172" s="1">
        <v>135.69999999999999</v>
      </c>
      <c r="V172" s="1">
        <v>131</v>
      </c>
      <c r="W172" s="1">
        <v>133.30000000000001</v>
      </c>
      <c r="X172" s="1">
        <v>130.6</v>
      </c>
      <c r="Y172" s="1">
        <v>118.3</v>
      </c>
      <c r="Z172" s="1">
        <v>127.9</v>
      </c>
      <c r="AA172" s="1">
        <v>137.4</v>
      </c>
      <c r="AB172" s="1">
        <v>125.7</v>
      </c>
      <c r="AC172" s="1">
        <v>127.5</v>
      </c>
      <c r="AD172" s="1">
        <v>135.19999999999999</v>
      </c>
    </row>
    <row r="173" spans="1:30" ht="12.5" x14ac:dyDescent="0.25">
      <c r="A173" s="1" t="s">
        <v>30</v>
      </c>
      <c r="B173" s="1">
        <v>2017</v>
      </c>
      <c r="C173" s="1" t="s">
        <v>43</v>
      </c>
      <c r="D173" s="1">
        <v>135.9</v>
      </c>
      <c r="E173" s="1">
        <v>141.9</v>
      </c>
      <c r="F173" s="1">
        <v>131</v>
      </c>
      <c r="G173" s="1">
        <v>141.5</v>
      </c>
      <c r="H173" s="1">
        <v>121.4</v>
      </c>
      <c r="I173" s="1">
        <v>146.69999999999999</v>
      </c>
      <c r="J173" s="1">
        <v>157.1</v>
      </c>
      <c r="K173" s="1">
        <v>136.4</v>
      </c>
      <c r="L173" s="1">
        <v>121.4</v>
      </c>
      <c r="M173" s="1">
        <v>135.6</v>
      </c>
      <c r="N173" s="1">
        <v>131.30000000000001</v>
      </c>
      <c r="O173" s="1">
        <v>150.30000000000001</v>
      </c>
      <c r="P173" s="1">
        <v>140.4</v>
      </c>
      <c r="Q173" s="1">
        <v>150.5</v>
      </c>
      <c r="R173" s="1">
        <v>147.19999999999999</v>
      </c>
      <c r="S173" s="1">
        <v>140.6</v>
      </c>
      <c r="T173" s="1">
        <v>146.19999999999999</v>
      </c>
      <c r="U173" s="1" t="s">
        <v>32</v>
      </c>
      <c r="V173" s="1">
        <v>138.1</v>
      </c>
      <c r="W173" s="1">
        <v>138.4</v>
      </c>
      <c r="X173" s="1">
        <v>134.19999999999999</v>
      </c>
      <c r="Y173" s="1">
        <v>121</v>
      </c>
      <c r="Z173" s="1">
        <v>133</v>
      </c>
      <c r="AA173" s="1">
        <v>140.1</v>
      </c>
      <c r="AB173" s="1">
        <v>127.4</v>
      </c>
      <c r="AC173" s="1">
        <v>130.69999999999999</v>
      </c>
      <c r="AD173" s="1">
        <v>138.30000000000001</v>
      </c>
    </row>
    <row r="174" spans="1:30" ht="12.5" x14ac:dyDescent="0.25">
      <c r="A174" s="1" t="s">
        <v>33</v>
      </c>
      <c r="B174" s="1">
        <v>2017</v>
      </c>
      <c r="C174" s="1" t="s">
        <v>43</v>
      </c>
      <c r="D174" s="1">
        <v>133.9</v>
      </c>
      <c r="E174" s="1">
        <v>142.80000000000001</v>
      </c>
      <c r="F174" s="1">
        <v>131.4</v>
      </c>
      <c r="G174" s="1">
        <v>139.1</v>
      </c>
      <c r="H174" s="1">
        <v>114.9</v>
      </c>
      <c r="I174" s="1">
        <v>135.6</v>
      </c>
      <c r="J174" s="1">
        <v>173.2</v>
      </c>
      <c r="K174" s="1">
        <v>124.1</v>
      </c>
      <c r="L174" s="1">
        <v>122.6</v>
      </c>
      <c r="M174" s="1">
        <v>137.80000000000001</v>
      </c>
      <c r="N174" s="1">
        <v>125.1</v>
      </c>
      <c r="O174" s="1">
        <v>145.5</v>
      </c>
      <c r="P174" s="1">
        <v>139.69999999999999</v>
      </c>
      <c r="Q174" s="1">
        <v>154.6</v>
      </c>
      <c r="R174" s="1">
        <v>134</v>
      </c>
      <c r="S174" s="1">
        <v>124.9</v>
      </c>
      <c r="T174" s="1">
        <v>132.6</v>
      </c>
      <c r="U174" s="1">
        <v>137.30000000000001</v>
      </c>
      <c r="V174" s="1">
        <v>122.6</v>
      </c>
      <c r="W174" s="1">
        <v>128.30000000000001</v>
      </c>
      <c r="X174" s="1">
        <v>126.6</v>
      </c>
      <c r="Y174" s="1">
        <v>115</v>
      </c>
      <c r="Z174" s="1">
        <v>124.8</v>
      </c>
      <c r="AA174" s="1">
        <v>136.30000000000001</v>
      </c>
      <c r="AB174" s="1">
        <v>124.6</v>
      </c>
      <c r="AC174" s="1">
        <v>124.5</v>
      </c>
      <c r="AD174" s="1">
        <v>133.5</v>
      </c>
    </row>
    <row r="175" spans="1:30" ht="12.5" x14ac:dyDescent="0.25">
      <c r="A175" s="1" t="s">
        <v>34</v>
      </c>
      <c r="B175" s="1">
        <v>2017</v>
      </c>
      <c r="C175" s="1" t="s">
        <v>43</v>
      </c>
      <c r="D175" s="1">
        <v>135.30000000000001</v>
      </c>
      <c r="E175" s="1">
        <v>142.19999999999999</v>
      </c>
      <c r="F175" s="1">
        <v>131.19999999999999</v>
      </c>
      <c r="G175" s="1">
        <v>140.6</v>
      </c>
      <c r="H175" s="1">
        <v>119</v>
      </c>
      <c r="I175" s="1">
        <v>141.5</v>
      </c>
      <c r="J175" s="1">
        <v>162.6</v>
      </c>
      <c r="K175" s="1">
        <v>132.30000000000001</v>
      </c>
      <c r="L175" s="1">
        <v>121.8</v>
      </c>
      <c r="M175" s="1">
        <v>136.30000000000001</v>
      </c>
      <c r="N175" s="1">
        <v>128.69999999999999</v>
      </c>
      <c r="O175" s="1">
        <v>148.1</v>
      </c>
      <c r="P175" s="1">
        <v>140.1</v>
      </c>
      <c r="Q175" s="1">
        <v>151.6</v>
      </c>
      <c r="R175" s="1">
        <v>142</v>
      </c>
      <c r="S175" s="1">
        <v>134.1</v>
      </c>
      <c r="T175" s="1">
        <v>140.80000000000001</v>
      </c>
      <c r="U175" s="1">
        <v>137.30000000000001</v>
      </c>
      <c r="V175" s="1">
        <v>132.19999999999999</v>
      </c>
      <c r="W175" s="1">
        <v>133.6</v>
      </c>
      <c r="X175" s="1">
        <v>131.30000000000001</v>
      </c>
      <c r="Y175" s="1">
        <v>117.8</v>
      </c>
      <c r="Z175" s="1">
        <v>128.4</v>
      </c>
      <c r="AA175" s="1">
        <v>137.9</v>
      </c>
      <c r="AB175" s="1">
        <v>126.2</v>
      </c>
      <c r="AC175" s="1">
        <v>127.7</v>
      </c>
      <c r="AD175" s="1">
        <v>136.1</v>
      </c>
    </row>
    <row r="176" spans="1:30" ht="12.5" x14ac:dyDescent="0.25">
      <c r="A176" s="1" t="s">
        <v>30</v>
      </c>
      <c r="B176" s="1">
        <v>2017</v>
      </c>
      <c r="C176" s="1" t="s">
        <v>44</v>
      </c>
      <c r="D176" s="1">
        <v>136.30000000000001</v>
      </c>
      <c r="E176" s="1">
        <v>142.5</v>
      </c>
      <c r="F176" s="1">
        <v>140.5</v>
      </c>
      <c r="G176" s="1">
        <v>141.5</v>
      </c>
      <c r="H176" s="1">
        <v>121.6</v>
      </c>
      <c r="I176" s="1">
        <v>147.30000000000001</v>
      </c>
      <c r="J176" s="1">
        <v>168</v>
      </c>
      <c r="K176" s="1">
        <v>135.80000000000001</v>
      </c>
      <c r="L176" s="1">
        <v>122.5</v>
      </c>
      <c r="M176" s="1">
        <v>136</v>
      </c>
      <c r="N176" s="1">
        <v>131.9</v>
      </c>
      <c r="O176" s="1">
        <v>151.4</v>
      </c>
      <c r="P176" s="1">
        <v>142.4</v>
      </c>
      <c r="Q176" s="1">
        <v>152.1</v>
      </c>
      <c r="R176" s="1">
        <v>148.19999999999999</v>
      </c>
      <c r="S176" s="1">
        <v>141.5</v>
      </c>
      <c r="T176" s="1">
        <v>147.30000000000001</v>
      </c>
      <c r="U176" s="1" t="s">
        <v>32</v>
      </c>
      <c r="V176" s="1">
        <v>141.1</v>
      </c>
      <c r="W176" s="1">
        <v>139.4</v>
      </c>
      <c r="X176" s="1">
        <v>135.80000000000001</v>
      </c>
      <c r="Y176" s="1">
        <v>121.6</v>
      </c>
      <c r="Z176" s="1">
        <v>133.69999999999999</v>
      </c>
      <c r="AA176" s="1">
        <v>141.5</v>
      </c>
      <c r="AB176" s="1">
        <v>128.1</v>
      </c>
      <c r="AC176" s="1">
        <v>131.69999999999999</v>
      </c>
      <c r="AD176" s="1">
        <v>140</v>
      </c>
    </row>
    <row r="177" spans="1:30" ht="12.5" x14ac:dyDescent="0.25">
      <c r="A177" s="1" t="s">
        <v>33</v>
      </c>
      <c r="B177" s="1">
        <v>2017</v>
      </c>
      <c r="C177" s="1" t="s">
        <v>44</v>
      </c>
      <c r="D177" s="1">
        <v>134.30000000000001</v>
      </c>
      <c r="E177" s="1">
        <v>142.1</v>
      </c>
      <c r="F177" s="1">
        <v>146.69999999999999</v>
      </c>
      <c r="G177" s="1">
        <v>139.5</v>
      </c>
      <c r="H177" s="1">
        <v>115.2</v>
      </c>
      <c r="I177" s="1">
        <v>136.4</v>
      </c>
      <c r="J177" s="1">
        <v>185.2</v>
      </c>
      <c r="K177" s="1">
        <v>122.2</v>
      </c>
      <c r="L177" s="1">
        <v>123.9</v>
      </c>
      <c r="M177" s="1">
        <v>138.30000000000001</v>
      </c>
      <c r="N177" s="1">
        <v>125.4</v>
      </c>
      <c r="O177" s="1">
        <v>146</v>
      </c>
      <c r="P177" s="1">
        <v>141.5</v>
      </c>
      <c r="Q177" s="1">
        <v>156.19999999999999</v>
      </c>
      <c r="R177" s="1">
        <v>135</v>
      </c>
      <c r="S177" s="1">
        <v>125.4</v>
      </c>
      <c r="T177" s="1">
        <v>133.5</v>
      </c>
      <c r="U177" s="1">
        <v>138.6</v>
      </c>
      <c r="V177" s="1">
        <v>125.7</v>
      </c>
      <c r="W177" s="1">
        <v>128.80000000000001</v>
      </c>
      <c r="X177" s="1">
        <v>127.4</v>
      </c>
      <c r="Y177" s="1">
        <v>115.3</v>
      </c>
      <c r="Z177" s="1">
        <v>125.1</v>
      </c>
      <c r="AA177" s="1">
        <v>136.6</v>
      </c>
      <c r="AB177" s="1">
        <v>124.9</v>
      </c>
      <c r="AC177" s="1">
        <v>124.9</v>
      </c>
      <c r="AD177" s="1">
        <v>134.80000000000001</v>
      </c>
    </row>
    <row r="178" spans="1:30" ht="12.5" x14ac:dyDescent="0.25">
      <c r="A178" s="1" t="s">
        <v>34</v>
      </c>
      <c r="B178" s="1">
        <v>2017</v>
      </c>
      <c r="C178" s="1" t="s">
        <v>44</v>
      </c>
      <c r="D178" s="1">
        <v>135.69999999999999</v>
      </c>
      <c r="E178" s="1">
        <v>142.4</v>
      </c>
      <c r="F178" s="1">
        <v>142.9</v>
      </c>
      <c r="G178" s="1">
        <v>140.80000000000001</v>
      </c>
      <c r="H178" s="1">
        <v>119.2</v>
      </c>
      <c r="I178" s="1">
        <v>142.19999999999999</v>
      </c>
      <c r="J178" s="1">
        <v>173.8</v>
      </c>
      <c r="K178" s="1">
        <v>131.19999999999999</v>
      </c>
      <c r="L178" s="1">
        <v>123</v>
      </c>
      <c r="M178" s="1">
        <v>136.80000000000001</v>
      </c>
      <c r="N178" s="1">
        <v>129.19999999999999</v>
      </c>
      <c r="O178" s="1">
        <v>148.9</v>
      </c>
      <c r="P178" s="1">
        <v>142.1</v>
      </c>
      <c r="Q178" s="1">
        <v>153.19999999999999</v>
      </c>
      <c r="R178" s="1">
        <v>143</v>
      </c>
      <c r="S178" s="1">
        <v>134.80000000000001</v>
      </c>
      <c r="T178" s="1">
        <v>141.80000000000001</v>
      </c>
      <c r="U178" s="1">
        <v>138.6</v>
      </c>
      <c r="V178" s="1">
        <v>135.30000000000001</v>
      </c>
      <c r="W178" s="1">
        <v>134.4</v>
      </c>
      <c r="X178" s="1">
        <v>132.6</v>
      </c>
      <c r="Y178" s="1">
        <v>118.3</v>
      </c>
      <c r="Z178" s="1">
        <v>128.9</v>
      </c>
      <c r="AA178" s="1">
        <v>138.6</v>
      </c>
      <c r="AB178" s="1">
        <v>126.8</v>
      </c>
      <c r="AC178" s="1">
        <v>128.4</v>
      </c>
      <c r="AD178" s="1">
        <v>137.6</v>
      </c>
    </row>
    <row r="179" spans="1:30" ht="12.5" x14ac:dyDescent="0.25">
      <c r="A179" s="1" t="s">
        <v>30</v>
      </c>
      <c r="B179" s="1">
        <v>2017</v>
      </c>
      <c r="C179" s="1" t="s">
        <v>45</v>
      </c>
      <c r="D179" s="1">
        <v>136.4</v>
      </c>
      <c r="E179" s="1">
        <v>143.69999999999999</v>
      </c>
      <c r="F179" s="1">
        <v>144.80000000000001</v>
      </c>
      <c r="G179" s="1">
        <v>141.9</v>
      </c>
      <c r="H179" s="1">
        <v>123.1</v>
      </c>
      <c r="I179" s="1">
        <v>147.19999999999999</v>
      </c>
      <c r="J179" s="1">
        <v>161</v>
      </c>
      <c r="K179" s="1">
        <v>133.80000000000001</v>
      </c>
      <c r="L179" s="1">
        <v>121.9</v>
      </c>
      <c r="M179" s="1">
        <v>135.80000000000001</v>
      </c>
      <c r="N179" s="1">
        <v>131.1</v>
      </c>
      <c r="O179" s="1">
        <v>151.4</v>
      </c>
      <c r="P179" s="1">
        <v>141.5</v>
      </c>
      <c r="Q179" s="1">
        <v>153.19999999999999</v>
      </c>
      <c r="R179" s="1">
        <v>148</v>
      </c>
      <c r="S179" s="1">
        <v>141.9</v>
      </c>
      <c r="T179" s="1">
        <v>147.19999999999999</v>
      </c>
      <c r="U179" s="1" t="s">
        <v>32</v>
      </c>
      <c r="V179" s="1">
        <v>142.6</v>
      </c>
      <c r="W179" s="1">
        <v>139.5</v>
      </c>
      <c r="X179" s="1">
        <v>136.1</v>
      </c>
      <c r="Y179" s="1">
        <v>122</v>
      </c>
      <c r="Z179" s="1">
        <v>133.4</v>
      </c>
      <c r="AA179" s="1">
        <v>141.1</v>
      </c>
      <c r="AB179" s="1">
        <v>127.8</v>
      </c>
      <c r="AC179" s="1">
        <v>131.9</v>
      </c>
      <c r="AD179" s="1">
        <v>139.80000000000001</v>
      </c>
    </row>
    <row r="180" spans="1:30" ht="12.5" x14ac:dyDescent="0.25">
      <c r="A180" s="1" t="s">
        <v>33</v>
      </c>
      <c r="B180" s="1">
        <v>2017</v>
      </c>
      <c r="C180" s="1" t="s">
        <v>45</v>
      </c>
      <c r="D180" s="1">
        <v>134.4</v>
      </c>
      <c r="E180" s="1">
        <v>142.6</v>
      </c>
      <c r="F180" s="1">
        <v>145.9</v>
      </c>
      <c r="G180" s="1">
        <v>139.5</v>
      </c>
      <c r="H180" s="1">
        <v>115.9</v>
      </c>
      <c r="I180" s="1">
        <v>135</v>
      </c>
      <c r="J180" s="1">
        <v>163.19999999999999</v>
      </c>
      <c r="K180" s="1">
        <v>119.8</v>
      </c>
      <c r="L180" s="1">
        <v>120.7</v>
      </c>
      <c r="M180" s="1">
        <v>139.69999999999999</v>
      </c>
      <c r="N180" s="1">
        <v>125.7</v>
      </c>
      <c r="O180" s="1">
        <v>146.30000000000001</v>
      </c>
      <c r="P180" s="1">
        <v>138.80000000000001</v>
      </c>
      <c r="Q180" s="1">
        <v>157</v>
      </c>
      <c r="R180" s="1">
        <v>135.6</v>
      </c>
      <c r="S180" s="1">
        <v>125.6</v>
      </c>
      <c r="T180" s="1">
        <v>134</v>
      </c>
      <c r="U180" s="1">
        <v>139.1</v>
      </c>
      <c r="V180" s="1">
        <v>126.8</v>
      </c>
      <c r="W180" s="1">
        <v>129.30000000000001</v>
      </c>
      <c r="X180" s="1">
        <v>128.19999999999999</v>
      </c>
      <c r="Y180" s="1">
        <v>115.3</v>
      </c>
      <c r="Z180" s="1">
        <v>125.6</v>
      </c>
      <c r="AA180" s="1">
        <v>136.69999999999999</v>
      </c>
      <c r="AB180" s="1">
        <v>124.6</v>
      </c>
      <c r="AC180" s="1">
        <v>125.1</v>
      </c>
      <c r="AD180" s="1">
        <v>134.1</v>
      </c>
    </row>
    <row r="181" spans="1:30" ht="12.5" x14ac:dyDescent="0.25">
      <c r="A181" s="1" t="s">
        <v>34</v>
      </c>
      <c r="B181" s="1">
        <v>2017</v>
      </c>
      <c r="C181" s="1" t="s">
        <v>45</v>
      </c>
      <c r="D181" s="1">
        <v>135.80000000000001</v>
      </c>
      <c r="E181" s="1">
        <v>143.30000000000001</v>
      </c>
      <c r="F181" s="1">
        <v>145.19999999999999</v>
      </c>
      <c r="G181" s="1">
        <v>141</v>
      </c>
      <c r="H181" s="1">
        <v>120.5</v>
      </c>
      <c r="I181" s="1">
        <v>141.5</v>
      </c>
      <c r="J181" s="1">
        <v>161.69999999999999</v>
      </c>
      <c r="K181" s="1">
        <v>129.1</v>
      </c>
      <c r="L181" s="1">
        <v>121.5</v>
      </c>
      <c r="M181" s="1">
        <v>137.1</v>
      </c>
      <c r="N181" s="1">
        <v>128.80000000000001</v>
      </c>
      <c r="O181" s="1">
        <v>149</v>
      </c>
      <c r="P181" s="1">
        <v>140.5</v>
      </c>
      <c r="Q181" s="1">
        <v>154.19999999999999</v>
      </c>
      <c r="R181" s="1">
        <v>143.1</v>
      </c>
      <c r="S181" s="1">
        <v>135.1</v>
      </c>
      <c r="T181" s="1">
        <v>142</v>
      </c>
      <c r="U181" s="1">
        <v>139.1</v>
      </c>
      <c r="V181" s="1">
        <v>136.6</v>
      </c>
      <c r="W181" s="1">
        <v>134.69999999999999</v>
      </c>
      <c r="X181" s="1">
        <v>133.1</v>
      </c>
      <c r="Y181" s="1">
        <v>118.5</v>
      </c>
      <c r="Z181" s="1">
        <v>129</v>
      </c>
      <c r="AA181" s="1">
        <v>138.5</v>
      </c>
      <c r="AB181" s="1">
        <v>126.5</v>
      </c>
      <c r="AC181" s="1">
        <v>128.6</v>
      </c>
      <c r="AD181" s="1">
        <v>137.19999999999999</v>
      </c>
    </row>
    <row r="182" spans="1:30" ht="12.5" x14ac:dyDescent="0.25">
      <c r="A182" s="1" t="s">
        <v>30</v>
      </c>
      <c r="B182" s="1">
        <v>2018</v>
      </c>
      <c r="C182" s="1" t="s">
        <v>31</v>
      </c>
      <c r="D182" s="1">
        <v>136.6</v>
      </c>
      <c r="E182" s="1">
        <v>144.4</v>
      </c>
      <c r="F182" s="1">
        <v>143.80000000000001</v>
      </c>
      <c r="G182" s="1">
        <v>142</v>
      </c>
      <c r="H182" s="1">
        <v>123.2</v>
      </c>
      <c r="I182" s="1">
        <v>147.9</v>
      </c>
      <c r="J182" s="1">
        <v>152.1</v>
      </c>
      <c r="K182" s="1">
        <v>131.80000000000001</v>
      </c>
      <c r="L182" s="1">
        <v>119.5</v>
      </c>
      <c r="M182" s="1">
        <v>136</v>
      </c>
      <c r="N182" s="1">
        <v>131.19999999999999</v>
      </c>
      <c r="O182" s="1">
        <v>151.80000000000001</v>
      </c>
      <c r="P182" s="1">
        <v>140.4</v>
      </c>
      <c r="Q182" s="1">
        <v>153.6</v>
      </c>
      <c r="R182" s="1">
        <v>148.30000000000001</v>
      </c>
      <c r="S182" s="1">
        <v>142.30000000000001</v>
      </c>
      <c r="T182" s="1">
        <v>147.5</v>
      </c>
      <c r="U182" s="1" t="s">
        <v>32</v>
      </c>
      <c r="V182" s="1">
        <v>142.30000000000001</v>
      </c>
      <c r="W182" s="1">
        <v>139.80000000000001</v>
      </c>
      <c r="X182" s="1">
        <v>136</v>
      </c>
      <c r="Y182" s="1">
        <v>122.7</v>
      </c>
      <c r="Z182" s="1">
        <v>134.30000000000001</v>
      </c>
      <c r="AA182" s="1">
        <v>141.6</v>
      </c>
      <c r="AB182" s="1">
        <v>128.6</v>
      </c>
      <c r="AC182" s="1">
        <v>132.30000000000001</v>
      </c>
      <c r="AD182" s="1">
        <v>139.30000000000001</v>
      </c>
    </row>
    <row r="183" spans="1:30" ht="12.5" x14ac:dyDescent="0.25">
      <c r="A183" s="1" t="s">
        <v>33</v>
      </c>
      <c r="B183" s="1">
        <v>2018</v>
      </c>
      <c r="C183" s="1" t="s">
        <v>31</v>
      </c>
      <c r="D183" s="1">
        <v>134.6</v>
      </c>
      <c r="E183" s="1">
        <v>143.69999999999999</v>
      </c>
      <c r="F183" s="1">
        <v>143.6</v>
      </c>
      <c r="G183" s="1">
        <v>139.6</v>
      </c>
      <c r="H183" s="1">
        <v>116.4</v>
      </c>
      <c r="I183" s="1">
        <v>133.80000000000001</v>
      </c>
      <c r="J183" s="1">
        <v>150.5</v>
      </c>
      <c r="K183" s="1">
        <v>118.4</v>
      </c>
      <c r="L183" s="1">
        <v>117.3</v>
      </c>
      <c r="M183" s="1">
        <v>140.5</v>
      </c>
      <c r="N183" s="1">
        <v>125.9</v>
      </c>
      <c r="O183" s="1">
        <v>146.80000000000001</v>
      </c>
      <c r="P183" s="1">
        <v>137.19999999999999</v>
      </c>
      <c r="Q183" s="1">
        <v>157.69999999999999</v>
      </c>
      <c r="R183" s="1">
        <v>136</v>
      </c>
      <c r="S183" s="1">
        <v>125.9</v>
      </c>
      <c r="T183" s="1">
        <v>134.4</v>
      </c>
      <c r="U183" s="1">
        <v>140.4</v>
      </c>
      <c r="V183" s="1">
        <v>127.3</v>
      </c>
      <c r="W183" s="1">
        <v>129.5</v>
      </c>
      <c r="X183" s="1">
        <v>129</v>
      </c>
      <c r="Y183" s="1">
        <v>116.3</v>
      </c>
      <c r="Z183" s="1">
        <v>126.2</v>
      </c>
      <c r="AA183" s="1">
        <v>137.1</v>
      </c>
      <c r="AB183" s="1">
        <v>125.5</v>
      </c>
      <c r="AC183" s="1">
        <v>125.8</v>
      </c>
      <c r="AD183" s="1">
        <v>134.1</v>
      </c>
    </row>
    <row r="184" spans="1:30" ht="12.5" x14ac:dyDescent="0.25">
      <c r="A184" s="1" t="s">
        <v>34</v>
      </c>
      <c r="B184" s="1">
        <v>2018</v>
      </c>
      <c r="C184" s="1" t="s">
        <v>31</v>
      </c>
      <c r="D184" s="1">
        <v>136</v>
      </c>
      <c r="E184" s="1">
        <v>144.19999999999999</v>
      </c>
      <c r="F184" s="1">
        <v>143.69999999999999</v>
      </c>
      <c r="G184" s="1">
        <v>141.1</v>
      </c>
      <c r="H184" s="1">
        <v>120.7</v>
      </c>
      <c r="I184" s="1">
        <v>141.30000000000001</v>
      </c>
      <c r="J184" s="1">
        <v>151.6</v>
      </c>
      <c r="K184" s="1">
        <v>127.3</v>
      </c>
      <c r="L184" s="1">
        <v>118.8</v>
      </c>
      <c r="M184" s="1">
        <v>137.5</v>
      </c>
      <c r="N184" s="1">
        <v>129</v>
      </c>
      <c r="O184" s="1">
        <v>149.5</v>
      </c>
      <c r="P184" s="1">
        <v>139.19999999999999</v>
      </c>
      <c r="Q184" s="1">
        <v>154.69999999999999</v>
      </c>
      <c r="R184" s="1">
        <v>143.5</v>
      </c>
      <c r="S184" s="1">
        <v>135.5</v>
      </c>
      <c r="T184" s="1">
        <v>142.30000000000001</v>
      </c>
      <c r="U184" s="1">
        <v>140.4</v>
      </c>
      <c r="V184" s="1">
        <v>136.6</v>
      </c>
      <c r="W184" s="1">
        <v>134.9</v>
      </c>
      <c r="X184" s="1">
        <v>133.30000000000001</v>
      </c>
      <c r="Y184" s="1">
        <v>119.3</v>
      </c>
      <c r="Z184" s="1">
        <v>129.69999999999999</v>
      </c>
      <c r="AA184" s="1">
        <v>139</v>
      </c>
      <c r="AB184" s="1">
        <v>127.3</v>
      </c>
      <c r="AC184" s="1">
        <v>129.1</v>
      </c>
      <c r="AD184" s="1">
        <v>136.9</v>
      </c>
    </row>
    <row r="185" spans="1:30" ht="12.5" x14ac:dyDescent="0.25">
      <c r="A185" s="1" t="s">
        <v>30</v>
      </c>
      <c r="B185" s="1">
        <v>2018</v>
      </c>
      <c r="C185" s="1" t="s">
        <v>35</v>
      </c>
      <c r="D185" s="1">
        <v>136.4</v>
      </c>
      <c r="E185" s="1">
        <v>143.69999999999999</v>
      </c>
      <c r="F185" s="1">
        <v>140.6</v>
      </c>
      <c r="G185" s="1">
        <v>141.5</v>
      </c>
      <c r="H185" s="1">
        <v>122.9</v>
      </c>
      <c r="I185" s="1">
        <v>149.4</v>
      </c>
      <c r="J185" s="1">
        <v>142.4</v>
      </c>
      <c r="K185" s="1">
        <v>130.19999999999999</v>
      </c>
      <c r="L185" s="1">
        <v>117.9</v>
      </c>
      <c r="M185" s="1">
        <v>135.6</v>
      </c>
      <c r="N185" s="1">
        <v>130.5</v>
      </c>
      <c r="O185" s="1">
        <v>151.69999999999999</v>
      </c>
      <c r="P185" s="1">
        <v>138.69999999999999</v>
      </c>
      <c r="Q185" s="1">
        <v>153.30000000000001</v>
      </c>
      <c r="R185" s="1">
        <v>148.69999999999999</v>
      </c>
      <c r="S185" s="1">
        <v>142.4</v>
      </c>
      <c r="T185" s="1">
        <v>147.80000000000001</v>
      </c>
      <c r="U185" s="1" t="s">
        <v>32</v>
      </c>
      <c r="V185" s="1">
        <v>142.4</v>
      </c>
      <c r="W185" s="1">
        <v>139.9</v>
      </c>
      <c r="X185" s="1">
        <v>136.19999999999999</v>
      </c>
      <c r="Y185" s="1">
        <v>123.3</v>
      </c>
      <c r="Z185" s="1">
        <v>134.30000000000001</v>
      </c>
      <c r="AA185" s="1">
        <v>141.5</v>
      </c>
      <c r="AB185" s="1">
        <v>128.80000000000001</v>
      </c>
      <c r="AC185" s="1">
        <v>132.5</v>
      </c>
      <c r="AD185" s="1">
        <v>138.5</v>
      </c>
    </row>
    <row r="186" spans="1:30" ht="12.5" x14ac:dyDescent="0.25">
      <c r="A186" s="1" t="s">
        <v>33</v>
      </c>
      <c r="B186" s="1">
        <v>2018</v>
      </c>
      <c r="C186" s="1" t="s">
        <v>35</v>
      </c>
      <c r="D186" s="1">
        <v>134.80000000000001</v>
      </c>
      <c r="E186" s="1">
        <v>143</v>
      </c>
      <c r="F186" s="1">
        <v>139.9</v>
      </c>
      <c r="G186" s="1">
        <v>139.9</v>
      </c>
      <c r="H186" s="1">
        <v>116.2</v>
      </c>
      <c r="I186" s="1">
        <v>135.5</v>
      </c>
      <c r="J186" s="1">
        <v>136.9</v>
      </c>
      <c r="K186" s="1">
        <v>117</v>
      </c>
      <c r="L186" s="1">
        <v>115.4</v>
      </c>
      <c r="M186" s="1">
        <v>140.69999999999999</v>
      </c>
      <c r="N186" s="1">
        <v>125.9</v>
      </c>
      <c r="O186" s="1">
        <v>147.1</v>
      </c>
      <c r="P186" s="1">
        <v>135.6</v>
      </c>
      <c r="Q186" s="1">
        <v>159.30000000000001</v>
      </c>
      <c r="R186" s="1">
        <v>136.30000000000001</v>
      </c>
      <c r="S186" s="1">
        <v>126.1</v>
      </c>
      <c r="T186" s="1">
        <v>134.69999999999999</v>
      </c>
      <c r="U186" s="1">
        <v>141.30000000000001</v>
      </c>
      <c r="V186" s="1">
        <v>127.3</v>
      </c>
      <c r="W186" s="1">
        <v>129.9</v>
      </c>
      <c r="X186" s="1">
        <v>129.80000000000001</v>
      </c>
      <c r="Y186" s="1">
        <v>117.4</v>
      </c>
      <c r="Z186" s="1">
        <v>126.5</v>
      </c>
      <c r="AA186" s="1">
        <v>137.19999999999999</v>
      </c>
      <c r="AB186" s="1">
        <v>126.2</v>
      </c>
      <c r="AC186" s="1">
        <v>126.5</v>
      </c>
      <c r="AD186" s="1">
        <v>134</v>
      </c>
    </row>
    <row r="187" spans="1:30" ht="12.5" x14ac:dyDescent="0.25">
      <c r="A187" s="1" t="s">
        <v>34</v>
      </c>
      <c r="B187" s="1">
        <v>2018</v>
      </c>
      <c r="C187" s="1" t="s">
        <v>35</v>
      </c>
      <c r="D187" s="1">
        <v>135.9</v>
      </c>
      <c r="E187" s="1">
        <v>143.5</v>
      </c>
      <c r="F187" s="1">
        <v>140.30000000000001</v>
      </c>
      <c r="G187" s="1">
        <v>140.9</v>
      </c>
      <c r="H187" s="1">
        <v>120.4</v>
      </c>
      <c r="I187" s="1">
        <v>142.9</v>
      </c>
      <c r="J187" s="1">
        <v>140.5</v>
      </c>
      <c r="K187" s="1">
        <v>125.8</v>
      </c>
      <c r="L187" s="1">
        <v>117.1</v>
      </c>
      <c r="M187" s="1">
        <v>137.30000000000001</v>
      </c>
      <c r="N187" s="1">
        <v>128.6</v>
      </c>
      <c r="O187" s="1">
        <v>149.6</v>
      </c>
      <c r="P187" s="1">
        <v>137.6</v>
      </c>
      <c r="Q187" s="1">
        <v>154.9</v>
      </c>
      <c r="R187" s="1">
        <v>143.80000000000001</v>
      </c>
      <c r="S187" s="1">
        <v>135.6</v>
      </c>
      <c r="T187" s="1">
        <v>142.6</v>
      </c>
      <c r="U187" s="1">
        <v>141.30000000000001</v>
      </c>
      <c r="V187" s="1">
        <v>136.69999999999999</v>
      </c>
      <c r="W187" s="1">
        <v>135.19999999999999</v>
      </c>
      <c r="X187" s="1">
        <v>133.80000000000001</v>
      </c>
      <c r="Y187" s="1">
        <v>120.2</v>
      </c>
      <c r="Z187" s="1">
        <v>129.9</v>
      </c>
      <c r="AA187" s="1">
        <v>139</v>
      </c>
      <c r="AB187" s="1">
        <v>127.7</v>
      </c>
      <c r="AC187" s="1">
        <v>129.6</v>
      </c>
      <c r="AD187" s="1">
        <v>136.4</v>
      </c>
    </row>
    <row r="188" spans="1:30" ht="12.5" x14ac:dyDescent="0.25">
      <c r="A188" s="1" t="s">
        <v>30</v>
      </c>
      <c r="B188" s="1">
        <v>2018</v>
      </c>
      <c r="C188" s="1" t="s">
        <v>36</v>
      </c>
      <c r="D188" s="1">
        <v>136.80000000000001</v>
      </c>
      <c r="E188" s="1">
        <v>143.80000000000001</v>
      </c>
      <c r="F188" s="1">
        <v>140</v>
      </c>
      <c r="G188" s="1">
        <v>142</v>
      </c>
      <c r="H188" s="1">
        <v>123.2</v>
      </c>
      <c r="I188" s="1">
        <v>152.9</v>
      </c>
      <c r="J188" s="1">
        <v>138</v>
      </c>
      <c r="K188" s="1">
        <v>129.30000000000001</v>
      </c>
      <c r="L188" s="1">
        <v>117.1</v>
      </c>
      <c r="M188" s="1">
        <v>136.30000000000001</v>
      </c>
      <c r="N188" s="1">
        <v>131.19999999999999</v>
      </c>
      <c r="O188" s="1">
        <v>152.80000000000001</v>
      </c>
      <c r="P188" s="1">
        <v>138.6</v>
      </c>
      <c r="Q188" s="1">
        <v>155.1</v>
      </c>
      <c r="R188" s="1">
        <v>149.19999999999999</v>
      </c>
      <c r="S188" s="1">
        <v>143</v>
      </c>
      <c r="T188" s="1">
        <v>148.30000000000001</v>
      </c>
      <c r="U188" s="1" t="s">
        <v>32</v>
      </c>
      <c r="V188" s="1">
        <v>142.6</v>
      </c>
      <c r="W188" s="1">
        <v>139.9</v>
      </c>
      <c r="X188" s="1">
        <v>136.69999999999999</v>
      </c>
      <c r="Y188" s="1">
        <v>124.6</v>
      </c>
      <c r="Z188" s="1">
        <v>135.1</v>
      </c>
      <c r="AA188" s="1">
        <v>142.69999999999999</v>
      </c>
      <c r="AB188" s="1">
        <v>129.30000000000001</v>
      </c>
      <c r="AC188" s="1">
        <v>133.30000000000001</v>
      </c>
      <c r="AD188" s="1">
        <v>138.69999999999999</v>
      </c>
    </row>
    <row r="189" spans="1:30" ht="12.5" x14ac:dyDescent="0.25">
      <c r="A189" s="1" t="s">
        <v>33</v>
      </c>
      <c r="B189" s="1">
        <v>2018</v>
      </c>
      <c r="C189" s="1" t="s">
        <v>36</v>
      </c>
      <c r="D189" s="1">
        <v>135</v>
      </c>
      <c r="E189" s="1">
        <v>143.1</v>
      </c>
      <c r="F189" s="1">
        <v>135.5</v>
      </c>
      <c r="G189" s="1">
        <v>139.9</v>
      </c>
      <c r="H189" s="1">
        <v>116.5</v>
      </c>
      <c r="I189" s="1">
        <v>138.5</v>
      </c>
      <c r="J189" s="1">
        <v>128</v>
      </c>
      <c r="K189" s="1">
        <v>115.5</v>
      </c>
      <c r="L189" s="1">
        <v>114.2</v>
      </c>
      <c r="M189" s="1">
        <v>140.69999999999999</v>
      </c>
      <c r="N189" s="1">
        <v>126.2</v>
      </c>
      <c r="O189" s="1">
        <v>147.6</v>
      </c>
      <c r="P189" s="1">
        <v>134.80000000000001</v>
      </c>
      <c r="Q189" s="1">
        <v>159.69999999999999</v>
      </c>
      <c r="R189" s="1">
        <v>136.69999999999999</v>
      </c>
      <c r="S189" s="1">
        <v>126.7</v>
      </c>
      <c r="T189" s="1">
        <v>135.19999999999999</v>
      </c>
      <c r="U189" s="1">
        <v>142</v>
      </c>
      <c r="V189" s="1">
        <v>126.4</v>
      </c>
      <c r="W189" s="1">
        <v>130.80000000000001</v>
      </c>
      <c r="X189" s="1">
        <v>130.5</v>
      </c>
      <c r="Y189" s="1">
        <v>117.8</v>
      </c>
      <c r="Z189" s="1">
        <v>126.8</v>
      </c>
      <c r="AA189" s="1">
        <v>137.80000000000001</v>
      </c>
      <c r="AB189" s="1">
        <v>126.7</v>
      </c>
      <c r="AC189" s="1">
        <v>127.1</v>
      </c>
      <c r="AD189" s="1">
        <v>134</v>
      </c>
    </row>
    <row r="190" spans="1:30" ht="12.5" x14ac:dyDescent="0.25">
      <c r="A190" s="1" t="s">
        <v>34</v>
      </c>
      <c r="B190" s="1">
        <v>2018</v>
      </c>
      <c r="C190" s="1" t="s">
        <v>36</v>
      </c>
      <c r="D190" s="1">
        <v>136.19999999999999</v>
      </c>
      <c r="E190" s="1">
        <v>143.6</v>
      </c>
      <c r="F190" s="1">
        <v>138.30000000000001</v>
      </c>
      <c r="G190" s="1">
        <v>141.19999999999999</v>
      </c>
      <c r="H190" s="1">
        <v>120.7</v>
      </c>
      <c r="I190" s="1">
        <v>146.19999999999999</v>
      </c>
      <c r="J190" s="1">
        <v>134.6</v>
      </c>
      <c r="K190" s="1">
        <v>124.6</v>
      </c>
      <c r="L190" s="1">
        <v>116.1</v>
      </c>
      <c r="M190" s="1">
        <v>137.80000000000001</v>
      </c>
      <c r="N190" s="1">
        <v>129.1</v>
      </c>
      <c r="O190" s="1">
        <v>150.4</v>
      </c>
      <c r="P190" s="1">
        <v>137.19999999999999</v>
      </c>
      <c r="Q190" s="1">
        <v>156.30000000000001</v>
      </c>
      <c r="R190" s="1">
        <v>144.30000000000001</v>
      </c>
      <c r="S190" s="1">
        <v>136.19999999999999</v>
      </c>
      <c r="T190" s="1">
        <v>143.1</v>
      </c>
      <c r="U190" s="1">
        <v>142</v>
      </c>
      <c r="V190" s="1">
        <v>136.5</v>
      </c>
      <c r="W190" s="1">
        <v>135.6</v>
      </c>
      <c r="X190" s="1">
        <v>134.30000000000001</v>
      </c>
      <c r="Y190" s="1">
        <v>121</v>
      </c>
      <c r="Z190" s="1">
        <v>130.4</v>
      </c>
      <c r="AA190" s="1">
        <v>139.80000000000001</v>
      </c>
      <c r="AB190" s="1">
        <v>128.19999999999999</v>
      </c>
      <c r="AC190" s="1">
        <v>130.30000000000001</v>
      </c>
      <c r="AD190" s="1">
        <v>136.5</v>
      </c>
    </row>
    <row r="191" spans="1:30" ht="12.5" x14ac:dyDescent="0.25">
      <c r="A191" s="1" t="s">
        <v>30</v>
      </c>
      <c r="B191" s="1">
        <v>2018</v>
      </c>
      <c r="C191" s="1" t="s">
        <v>37</v>
      </c>
      <c r="D191" s="1">
        <v>137.1</v>
      </c>
      <c r="E191" s="1">
        <v>144.5</v>
      </c>
      <c r="F191" s="1">
        <v>135.9</v>
      </c>
      <c r="G191" s="1">
        <v>142.4</v>
      </c>
      <c r="H191" s="1">
        <v>123.5</v>
      </c>
      <c r="I191" s="1">
        <v>156.4</v>
      </c>
      <c r="J191" s="1">
        <v>135.1</v>
      </c>
      <c r="K191" s="1">
        <v>128.4</v>
      </c>
      <c r="L191" s="1">
        <v>115.2</v>
      </c>
      <c r="M191" s="1">
        <v>137.19999999999999</v>
      </c>
      <c r="N191" s="1">
        <v>131.9</v>
      </c>
      <c r="O191" s="1">
        <v>153.80000000000001</v>
      </c>
      <c r="P191" s="1">
        <v>138.6</v>
      </c>
      <c r="Q191" s="1">
        <v>156.1</v>
      </c>
      <c r="R191" s="1">
        <v>150.1</v>
      </c>
      <c r="S191" s="1">
        <v>143.30000000000001</v>
      </c>
      <c r="T191" s="1">
        <v>149.1</v>
      </c>
      <c r="U191" s="1" t="s">
        <v>32</v>
      </c>
      <c r="V191" s="1">
        <v>143.80000000000001</v>
      </c>
      <c r="W191" s="1">
        <v>140.9</v>
      </c>
      <c r="X191" s="1">
        <v>137.6</v>
      </c>
      <c r="Y191" s="1">
        <v>125.3</v>
      </c>
      <c r="Z191" s="1">
        <v>136</v>
      </c>
      <c r="AA191" s="1">
        <v>143.69999999999999</v>
      </c>
      <c r="AB191" s="1">
        <v>130.4</v>
      </c>
      <c r="AC191" s="1">
        <v>134.19999999999999</v>
      </c>
      <c r="AD191" s="1">
        <v>139.1</v>
      </c>
    </row>
    <row r="192" spans="1:30" ht="12.5" x14ac:dyDescent="0.25">
      <c r="A192" s="1" t="s">
        <v>33</v>
      </c>
      <c r="B192" s="1">
        <v>2018</v>
      </c>
      <c r="C192" s="1" t="s">
        <v>37</v>
      </c>
      <c r="D192" s="1">
        <v>135</v>
      </c>
      <c r="E192" s="1">
        <v>144.30000000000001</v>
      </c>
      <c r="F192" s="1">
        <v>130.80000000000001</v>
      </c>
      <c r="G192" s="1">
        <v>140.30000000000001</v>
      </c>
      <c r="H192" s="1">
        <v>116.6</v>
      </c>
      <c r="I192" s="1">
        <v>150.1</v>
      </c>
      <c r="J192" s="1">
        <v>127.6</v>
      </c>
      <c r="K192" s="1">
        <v>114</v>
      </c>
      <c r="L192" s="1">
        <v>110.6</v>
      </c>
      <c r="M192" s="1">
        <v>140.19999999999999</v>
      </c>
      <c r="N192" s="1">
        <v>126.5</v>
      </c>
      <c r="O192" s="1">
        <v>148.30000000000001</v>
      </c>
      <c r="P192" s="1">
        <v>135.69999999999999</v>
      </c>
      <c r="Q192" s="1">
        <v>159.19999999999999</v>
      </c>
      <c r="R192" s="1">
        <v>137.80000000000001</v>
      </c>
      <c r="S192" s="1">
        <v>127.4</v>
      </c>
      <c r="T192" s="1">
        <v>136.19999999999999</v>
      </c>
      <c r="U192" s="1">
        <v>142.9</v>
      </c>
      <c r="V192" s="1">
        <v>124.6</v>
      </c>
      <c r="W192" s="1">
        <v>131.80000000000001</v>
      </c>
      <c r="X192" s="1">
        <v>131.30000000000001</v>
      </c>
      <c r="Y192" s="1">
        <v>118.9</v>
      </c>
      <c r="Z192" s="1">
        <v>127.6</v>
      </c>
      <c r="AA192" s="1">
        <v>139.69999999999999</v>
      </c>
      <c r="AB192" s="1">
        <v>127.6</v>
      </c>
      <c r="AC192" s="1">
        <v>128.19999999999999</v>
      </c>
      <c r="AD192" s="1">
        <v>134.80000000000001</v>
      </c>
    </row>
    <row r="193" spans="1:30" ht="12.5" x14ac:dyDescent="0.25">
      <c r="A193" s="1" t="s">
        <v>34</v>
      </c>
      <c r="B193" s="1">
        <v>2018</v>
      </c>
      <c r="C193" s="1" t="s">
        <v>37</v>
      </c>
      <c r="D193" s="1">
        <v>136.4</v>
      </c>
      <c r="E193" s="1">
        <v>144.4</v>
      </c>
      <c r="F193" s="1">
        <v>133.9</v>
      </c>
      <c r="G193" s="1">
        <v>141.6</v>
      </c>
      <c r="H193" s="1">
        <v>121</v>
      </c>
      <c r="I193" s="1">
        <v>153.5</v>
      </c>
      <c r="J193" s="1">
        <v>132.6</v>
      </c>
      <c r="K193" s="1">
        <v>123.5</v>
      </c>
      <c r="L193" s="1">
        <v>113.7</v>
      </c>
      <c r="M193" s="1">
        <v>138.19999999999999</v>
      </c>
      <c r="N193" s="1">
        <v>129.6</v>
      </c>
      <c r="O193" s="1">
        <v>151.19999999999999</v>
      </c>
      <c r="P193" s="1">
        <v>137.5</v>
      </c>
      <c r="Q193" s="1">
        <v>156.9</v>
      </c>
      <c r="R193" s="1">
        <v>145.30000000000001</v>
      </c>
      <c r="S193" s="1">
        <v>136.69999999999999</v>
      </c>
      <c r="T193" s="1">
        <v>144</v>
      </c>
      <c r="U193" s="1">
        <v>142.9</v>
      </c>
      <c r="V193" s="1">
        <v>136.5</v>
      </c>
      <c r="W193" s="1">
        <v>136.6</v>
      </c>
      <c r="X193" s="1">
        <v>135.19999999999999</v>
      </c>
      <c r="Y193" s="1">
        <v>121.9</v>
      </c>
      <c r="Z193" s="1">
        <v>131.30000000000001</v>
      </c>
      <c r="AA193" s="1">
        <v>141.4</v>
      </c>
      <c r="AB193" s="1">
        <v>129.19999999999999</v>
      </c>
      <c r="AC193" s="1">
        <v>131.30000000000001</v>
      </c>
      <c r="AD193" s="1">
        <v>137.1</v>
      </c>
    </row>
    <row r="194" spans="1:30" ht="12.5" x14ac:dyDescent="0.25">
      <c r="A194" s="1" t="s">
        <v>30</v>
      </c>
      <c r="B194" s="1">
        <v>2018</v>
      </c>
      <c r="C194" s="1" t="s">
        <v>38</v>
      </c>
      <c r="D194" s="1">
        <v>137.4</v>
      </c>
      <c r="E194" s="1">
        <v>145.69999999999999</v>
      </c>
      <c r="F194" s="1">
        <v>135.5</v>
      </c>
      <c r="G194" s="1">
        <v>142.9</v>
      </c>
      <c r="H194" s="1">
        <v>123.6</v>
      </c>
      <c r="I194" s="1">
        <v>157.5</v>
      </c>
      <c r="J194" s="1">
        <v>137.80000000000001</v>
      </c>
      <c r="K194" s="1">
        <v>127.2</v>
      </c>
      <c r="L194" s="1">
        <v>111.8</v>
      </c>
      <c r="M194" s="1">
        <v>137.4</v>
      </c>
      <c r="N194" s="1">
        <v>132.19999999999999</v>
      </c>
      <c r="O194" s="1">
        <v>154.30000000000001</v>
      </c>
      <c r="P194" s="1">
        <v>139.1</v>
      </c>
      <c r="Q194" s="1">
        <v>157</v>
      </c>
      <c r="R194" s="1">
        <v>150.80000000000001</v>
      </c>
      <c r="S194" s="1">
        <v>144.1</v>
      </c>
      <c r="T194" s="1">
        <v>149.80000000000001</v>
      </c>
      <c r="U194" s="1" t="s">
        <v>32</v>
      </c>
      <c r="V194" s="1">
        <v>144.30000000000001</v>
      </c>
      <c r="W194" s="1">
        <v>141.80000000000001</v>
      </c>
      <c r="X194" s="1">
        <v>138.4</v>
      </c>
      <c r="Y194" s="1">
        <v>126.4</v>
      </c>
      <c r="Z194" s="1">
        <v>136.80000000000001</v>
      </c>
      <c r="AA194" s="1">
        <v>144.4</v>
      </c>
      <c r="AB194" s="1">
        <v>131.19999999999999</v>
      </c>
      <c r="AC194" s="1">
        <v>135.1</v>
      </c>
      <c r="AD194" s="1">
        <v>139.80000000000001</v>
      </c>
    </row>
    <row r="195" spans="1:30" ht="12.5" x14ac:dyDescent="0.25">
      <c r="A195" s="1" t="s">
        <v>33</v>
      </c>
      <c r="B195" s="1">
        <v>2018</v>
      </c>
      <c r="C195" s="1" t="s">
        <v>38</v>
      </c>
      <c r="D195" s="1">
        <v>135</v>
      </c>
      <c r="E195" s="1">
        <v>148.19999999999999</v>
      </c>
      <c r="F195" s="1">
        <v>130.5</v>
      </c>
      <c r="G195" s="1">
        <v>140.69999999999999</v>
      </c>
      <c r="H195" s="1">
        <v>116.4</v>
      </c>
      <c r="I195" s="1">
        <v>151.30000000000001</v>
      </c>
      <c r="J195" s="1">
        <v>131.4</v>
      </c>
      <c r="K195" s="1">
        <v>112.8</v>
      </c>
      <c r="L195" s="1">
        <v>105.3</v>
      </c>
      <c r="M195" s="1">
        <v>139.6</v>
      </c>
      <c r="N195" s="1">
        <v>126.6</v>
      </c>
      <c r="O195" s="1">
        <v>148.69999999999999</v>
      </c>
      <c r="P195" s="1">
        <v>136.4</v>
      </c>
      <c r="Q195" s="1">
        <v>160.30000000000001</v>
      </c>
      <c r="R195" s="1">
        <v>138.6</v>
      </c>
      <c r="S195" s="1">
        <v>127.9</v>
      </c>
      <c r="T195" s="1">
        <v>137</v>
      </c>
      <c r="U195" s="1">
        <v>143.19999999999999</v>
      </c>
      <c r="V195" s="1">
        <v>124.7</v>
      </c>
      <c r="W195" s="1">
        <v>132.5</v>
      </c>
      <c r="X195" s="1">
        <v>132</v>
      </c>
      <c r="Y195" s="1">
        <v>119.8</v>
      </c>
      <c r="Z195" s="1">
        <v>128</v>
      </c>
      <c r="AA195" s="1">
        <v>140.4</v>
      </c>
      <c r="AB195" s="1">
        <v>128.1</v>
      </c>
      <c r="AC195" s="1">
        <v>128.9</v>
      </c>
      <c r="AD195" s="1">
        <v>135.4</v>
      </c>
    </row>
    <row r="196" spans="1:30" ht="12.5" x14ac:dyDescent="0.25">
      <c r="A196" s="1" t="s">
        <v>34</v>
      </c>
      <c r="B196" s="1">
        <v>2018</v>
      </c>
      <c r="C196" s="1" t="s">
        <v>38</v>
      </c>
      <c r="D196" s="1">
        <v>136.6</v>
      </c>
      <c r="E196" s="1">
        <v>146.6</v>
      </c>
      <c r="F196" s="1">
        <v>133.6</v>
      </c>
      <c r="G196" s="1">
        <v>142.1</v>
      </c>
      <c r="H196" s="1">
        <v>121</v>
      </c>
      <c r="I196" s="1">
        <v>154.6</v>
      </c>
      <c r="J196" s="1">
        <v>135.6</v>
      </c>
      <c r="K196" s="1">
        <v>122.3</v>
      </c>
      <c r="L196" s="1">
        <v>109.6</v>
      </c>
      <c r="M196" s="1">
        <v>138.1</v>
      </c>
      <c r="N196" s="1">
        <v>129.9</v>
      </c>
      <c r="O196" s="1">
        <v>151.69999999999999</v>
      </c>
      <c r="P196" s="1">
        <v>138.1</v>
      </c>
      <c r="Q196" s="1">
        <v>157.9</v>
      </c>
      <c r="R196" s="1">
        <v>146</v>
      </c>
      <c r="S196" s="1">
        <v>137.4</v>
      </c>
      <c r="T196" s="1">
        <v>144.69999999999999</v>
      </c>
      <c r="U196" s="1">
        <v>143.19999999999999</v>
      </c>
      <c r="V196" s="1">
        <v>136.9</v>
      </c>
      <c r="W196" s="1">
        <v>137.4</v>
      </c>
      <c r="X196" s="1">
        <v>136</v>
      </c>
      <c r="Y196" s="1">
        <v>122.9</v>
      </c>
      <c r="Z196" s="1">
        <v>131.80000000000001</v>
      </c>
      <c r="AA196" s="1">
        <v>142.1</v>
      </c>
      <c r="AB196" s="1">
        <v>129.9</v>
      </c>
      <c r="AC196" s="1">
        <v>132.1</v>
      </c>
      <c r="AD196" s="1">
        <v>137.80000000000001</v>
      </c>
    </row>
    <row r="197" spans="1:30" ht="12.5" x14ac:dyDescent="0.25">
      <c r="A197" s="1" t="s">
        <v>30</v>
      </c>
      <c r="B197" s="1">
        <v>2018</v>
      </c>
      <c r="C197" s="1" t="s">
        <v>39</v>
      </c>
      <c r="D197" s="1">
        <v>137.6</v>
      </c>
      <c r="E197" s="1">
        <v>148.1</v>
      </c>
      <c r="F197" s="1">
        <v>136.69999999999999</v>
      </c>
      <c r="G197" s="1">
        <v>143.19999999999999</v>
      </c>
      <c r="H197" s="1">
        <v>124</v>
      </c>
      <c r="I197" s="1">
        <v>154.1</v>
      </c>
      <c r="J197" s="1">
        <v>143.5</v>
      </c>
      <c r="K197" s="1">
        <v>126</v>
      </c>
      <c r="L197" s="1">
        <v>112.4</v>
      </c>
      <c r="M197" s="1">
        <v>137.6</v>
      </c>
      <c r="N197" s="1">
        <v>132.80000000000001</v>
      </c>
      <c r="O197" s="1">
        <v>154.30000000000001</v>
      </c>
      <c r="P197" s="1">
        <v>140</v>
      </c>
      <c r="Q197" s="1">
        <v>157.30000000000001</v>
      </c>
      <c r="R197" s="1">
        <v>151.30000000000001</v>
      </c>
      <c r="S197" s="1">
        <v>144.69999999999999</v>
      </c>
      <c r="T197" s="1">
        <v>150.30000000000001</v>
      </c>
      <c r="U197" s="1" t="s">
        <v>32</v>
      </c>
      <c r="V197" s="1">
        <v>145.1</v>
      </c>
      <c r="W197" s="1">
        <v>142.19999999999999</v>
      </c>
      <c r="X197" s="1">
        <v>138.4</v>
      </c>
      <c r="Y197" s="1">
        <v>127.4</v>
      </c>
      <c r="Z197" s="1">
        <v>137.80000000000001</v>
      </c>
      <c r="AA197" s="1">
        <v>145.1</v>
      </c>
      <c r="AB197" s="1">
        <v>131.4</v>
      </c>
      <c r="AC197" s="1">
        <v>135.6</v>
      </c>
      <c r="AD197" s="1">
        <v>140.5</v>
      </c>
    </row>
    <row r="198" spans="1:30" ht="12.5" x14ac:dyDescent="0.25">
      <c r="A198" s="1" t="s">
        <v>33</v>
      </c>
      <c r="B198" s="1">
        <v>2018</v>
      </c>
      <c r="C198" s="1" t="s">
        <v>39</v>
      </c>
      <c r="D198" s="1">
        <v>135.30000000000001</v>
      </c>
      <c r="E198" s="1">
        <v>149.69999999999999</v>
      </c>
      <c r="F198" s="1">
        <v>133.9</v>
      </c>
      <c r="G198" s="1">
        <v>140.80000000000001</v>
      </c>
      <c r="H198" s="1">
        <v>116.6</v>
      </c>
      <c r="I198" s="1">
        <v>152.19999999999999</v>
      </c>
      <c r="J198" s="1">
        <v>144</v>
      </c>
      <c r="K198" s="1">
        <v>112.3</v>
      </c>
      <c r="L198" s="1">
        <v>108.4</v>
      </c>
      <c r="M198" s="1">
        <v>140</v>
      </c>
      <c r="N198" s="1">
        <v>126.7</v>
      </c>
      <c r="O198" s="1">
        <v>149</v>
      </c>
      <c r="P198" s="1">
        <v>138.4</v>
      </c>
      <c r="Q198" s="1">
        <v>161</v>
      </c>
      <c r="R198" s="1">
        <v>138.9</v>
      </c>
      <c r="S198" s="1">
        <v>128.69999999999999</v>
      </c>
      <c r="T198" s="1">
        <v>137.4</v>
      </c>
      <c r="U198" s="1">
        <v>142.5</v>
      </c>
      <c r="V198" s="1">
        <v>126.5</v>
      </c>
      <c r="W198" s="1">
        <v>133.1</v>
      </c>
      <c r="X198" s="1">
        <v>132.6</v>
      </c>
      <c r="Y198" s="1">
        <v>120.4</v>
      </c>
      <c r="Z198" s="1">
        <v>128.5</v>
      </c>
      <c r="AA198" s="1">
        <v>141.19999999999999</v>
      </c>
      <c r="AB198" s="1">
        <v>128.19999999999999</v>
      </c>
      <c r="AC198" s="1">
        <v>129.5</v>
      </c>
      <c r="AD198" s="1">
        <v>136.19999999999999</v>
      </c>
    </row>
    <row r="199" spans="1:30" ht="12.5" x14ac:dyDescent="0.25">
      <c r="A199" s="1" t="s">
        <v>34</v>
      </c>
      <c r="B199" s="1">
        <v>2018</v>
      </c>
      <c r="C199" s="1" t="s">
        <v>39</v>
      </c>
      <c r="D199" s="1">
        <v>136.9</v>
      </c>
      <c r="E199" s="1">
        <v>148.69999999999999</v>
      </c>
      <c r="F199" s="1">
        <v>135.6</v>
      </c>
      <c r="G199" s="1">
        <v>142.30000000000001</v>
      </c>
      <c r="H199" s="1">
        <v>121.3</v>
      </c>
      <c r="I199" s="1">
        <v>153.19999999999999</v>
      </c>
      <c r="J199" s="1">
        <v>143.69999999999999</v>
      </c>
      <c r="K199" s="1">
        <v>121.4</v>
      </c>
      <c r="L199" s="1">
        <v>111.1</v>
      </c>
      <c r="M199" s="1">
        <v>138.4</v>
      </c>
      <c r="N199" s="1">
        <v>130.30000000000001</v>
      </c>
      <c r="O199" s="1">
        <v>151.80000000000001</v>
      </c>
      <c r="P199" s="1">
        <v>139.4</v>
      </c>
      <c r="Q199" s="1">
        <v>158.30000000000001</v>
      </c>
      <c r="R199" s="1">
        <v>146.4</v>
      </c>
      <c r="S199" s="1">
        <v>138.1</v>
      </c>
      <c r="T199" s="1">
        <v>145.19999999999999</v>
      </c>
      <c r="U199" s="1">
        <v>142.5</v>
      </c>
      <c r="V199" s="1">
        <v>138.1</v>
      </c>
      <c r="W199" s="1">
        <v>137.9</v>
      </c>
      <c r="X199" s="1">
        <v>136.19999999999999</v>
      </c>
      <c r="Y199" s="1">
        <v>123.7</v>
      </c>
      <c r="Z199" s="1">
        <v>132.6</v>
      </c>
      <c r="AA199" s="1">
        <v>142.80000000000001</v>
      </c>
      <c r="AB199" s="1">
        <v>130.1</v>
      </c>
      <c r="AC199" s="1">
        <v>132.6</v>
      </c>
      <c r="AD199" s="1">
        <v>138.5</v>
      </c>
    </row>
    <row r="200" spans="1:30" ht="12.5" x14ac:dyDescent="0.25">
      <c r="A200" s="1" t="s">
        <v>30</v>
      </c>
      <c r="B200" s="1">
        <v>2018</v>
      </c>
      <c r="C200" s="1" t="s">
        <v>40</v>
      </c>
      <c r="D200" s="1">
        <v>138.4</v>
      </c>
      <c r="E200" s="1">
        <v>149.30000000000001</v>
      </c>
      <c r="F200" s="1">
        <v>139.30000000000001</v>
      </c>
      <c r="G200" s="1">
        <v>143.4</v>
      </c>
      <c r="H200" s="1">
        <v>124.1</v>
      </c>
      <c r="I200" s="1">
        <v>153.30000000000001</v>
      </c>
      <c r="J200" s="1">
        <v>154.19999999999999</v>
      </c>
      <c r="K200" s="1">
        <v>126.4</v>
      </c>
      <c r="L200" s="1">
        <v>114.3</v>
      </c>
      <c r="M200" s="1">
        <v>138.19999999999999</v>
      </c>
      <c r="N200" s="1">
        <v>132.80000000000001</v>
      </c>
      <c r="O200" s="1">
        <v>154.80000000000001</v>
      </c>
      <c r="P200" s="1">
        <v>142</v>
      </c>
      <c r="Q200" s="1">
        <v>156.1</v>
      </c>
      <c r="R200" s="1">
        <v>151.5</v>
      </c>
      <c r="S200" s="1">
        <v>145.1</v>
      </c>
      <c r="T200" s="1">
        <v>150.6</v>
      </c>
      <c r="U200" s="1" t="s">
        <v>32</v>
      </c>
      <c r="V200" s="1">
        <v>146.80000000000001</v>
      </c>
      <c r="W200" s="1">
        <v>143.1</v>
      </c>
      <c r="X200" s="1">
        <v>139</v>
      </c>
      <c r="Y200" s="1">
        <v>127.5</v>
      </c>
      <c r="Z200" s="1">
        <v>138.4</v>
      </c>
      <c r="AA200" s="1">
        <v>145.80000000000001</v>
      </c>
      <c r="AB200" s="1">
        <v>131.4</v>
      </c>
      <c r="AC200" s="1">
        <v>136</v>
      </c>
      <c r="AD200" s="1">
        <v>141.80000000000001</v>
      </c>
    </row>
    <row r="201" spans="1:30" ht="12.5" x14ac:dyDescent="0.25">
      <c r="A201" s="1" t="s">
        <v>33</v>
      </c>
      <c r="B201" s="1">
        <v>2018</v>
      </c>
      <c r="C201" s="1" t="s">
        <v>40</v>
      </c>
      <c r="D201" s="1">
        <v>135.6</v>
      </c>
      <c r="E201" s="1">
        <v>148.6</v>
      </c>
      <c r="F201" s="1">
        <v>139.1</v>
      </c>
      <c r="G201" s="1">
        <v>141</v>
      </c>
      <c r="H201" s="1">
        <v>116.7</v>
      </c>
      <c r="I201" s="1">
        <v>149.69999999999999</v>
      </c>
      <c r="J201" s="1">
        <v>159.19999999999999</v>
      </c>
      <c r="K201" s="1">
        <v>112.6</v>
      </c>
      <c r="L201" s="1">
        <v>111.8</v>
      </c>
      <c r="M201" s="1">
        <v>140.30000000000001</v>
      </c>
      <c r="N201" s="1">
        <v>126.8</v>
      </c>
      <c r="O201" s="1">
        <v>149.4</v>
      </c>
      <c r="P201" s="1">
        <v>140.30000000000001</v>
      </c>
      <c r="Q201" s="1">
        <v>161.4</v>
      </c>
      <c r="R201" s="1">
        <v>139.6</v>
      </c>
      <c r="S201" s="1">
        <v>128.9</v>
      </c>
      <c r="T201" s="1">
        <v>137.9</v>
      </c>
      <c r="U201" s="1">
        <v>143.6</v>
      </c>
      <c r="V201" s="1">
        <v>128.1</v>
      </c>
      <c r="W201" s="1">
        <v>133.6</v>
      </c>
      <c r="X201" s="1">
        <v>133.6</v>
      </c>
      <c r="Y201" s="1">
        <v>120.1</v>
      </c>
      <c r="Z201" s="1">
        <v>129</v>
      </c>
      <c r="AA201" s="1">
        <v>144</v>
      </c>
      <c r="AB201" s="1">
        <v>128.19999999999999</v>
      </c>
      <c r="AC201" s="1">
        <v>130.19999999999999</v>
      </c>
      <c r="AD201" s="1">
        <v>137.5</v>
      </c>
    </row>
    <row r="202" spans="1:30" ht="12.5" x14ac:dyDescent="0.25">
      <c r="A202" s="1" t="s">
        <v>34</v>
      </c>
      <c r="B202" s="1">
        <v>2018</v>
      </c>
      <c r="C202" s="1" t="s">
        <v>40</v>
      </c>
      <c r="D202" s="1">
        <v>137.5</v>
      </c>
      <c r="E202" s="1">
        <v>149.1</v>
      </c>
      <c r="F202" s="1">
        <v>139.19999999999999</v>
      </c>
      <c r="G202" s="1">
        <v>142.5</v>
      </c>
      <c r="H202" s="1">
        <v>121.4</v>
      </c>
      <c r="I202" s="1">
        <v>151.6</v>
      </c>
      <c r="J202" s="1">
        <v>155.9</v>
      </c>
      <c r="K202" s="1">
        <v>121.7</v>
      </c>
      <c r="L202" s="1">
        <v>113.5</v>
      </c>
      <c r="M202" s="1">
        <v>138.9</v>
      </c>
      <c r="N202" s="1">
        <v>130.30000000000001</v>
      </c>
      <c r="O202" s="1">
        <v>152.30000000000001</v>
      </c>
      <c r="P202" s="1">
        <v>141.4</v>
      </c>
      <c r="Q202" s="1">
        <v>157.5</v>
      </c>
      <c r="R202" s="1">
        <v>146.80000000000001</v>
      </c>
      <c r="S202" s="1">
        <v>138.4</v>
      </c>
      <c r="T202" s="1">
        <v>145.6</v>
      </c>
      <c r="U202" s="1">
        <v>143.6</v>
      </c>
      <c r="V202" s="1">
        <v>139.69999999999999</v>
      </c>
      <c r="W202" s="1">
        <v>138.6</v>
      </c>
      <c r="X202" s="1">
        <v>137</v>
      </c>
      <c r="Y202" s="1">
        <v>123.6</v>
      </c>
      <c r="Z202" s="1">
        <v>133.1</v>
      </c>
      <c r="AA202" s="1">
        <v>144.69999999999999</v>
      </c>
      <c r="AB202" s="1">
        <v>130.1</v>
      </c>
      <c r="AC202" s="1">
        <v>133.19999999999999</v>
      </c>
      <c r="AD202" s="1">
        <v>139.80000000000001</v>
      </c>
    </row>
    <row r="203" spans="1:30" ht="12.5" x14ac:dyDescent="0.25">
      <c r="A203" s="1" t="s">
        <v>30</v>
      </c>
      <c r="B203" s="1">
        <v>2018</v>
      </c>
      <c r="C203" s="1" t="s">
        <v>41</v>
      </c>
      <c r="D203" s="1">
        <v>139.19999999999999</v>
      </c>
      <c r="E203" s="1">
        <v>148.80000000000001</v>
      </c>
      <c r="F203" s="1">
        <v>139.1</v>
      </c>
      <c r="G203" s="1">
        <v>143.5</v>
      </c>
      <c r="H203" s="1">
        <v>125</v>
      </c>
      <c r="I203" s="1">
        <v>154.4</v>
      </c>
      <c r="J203" s="1">
        <v>156.30000000000001</v>
      </c>
      <c r="K203" s="1">
        <v>126.8</v>
      </c>
      <c r="L203" s="1">
        <v>115.4</v>
      </c>
      <c r="M203" s="1">
        <v>138.6</v>
      </c>
      <c r="N203" s="1">
        <v>133.80000000000001</v>
      </c>
      <c r="O203" s="1">
        <v>155.19999999999999</v>
      </c>
      <c r="P203" s="1">
        <v>142.69999999999999</v>
      </c>
      <c r="Q203" s="1">
        <v>156.4</v>
      </c>
      <c r="R203" s="1">
        <v>152.1</v>
      </c>
      <c r="S203" s="1">
        <v>145.80000000000001</v>
      </c>
      <c r="T203" s="1">
        <v>151.30000000000001</v>
      </c>
      <c r="U203" s="1" t="s">
        <v>32</v>
      </c>
      <c r="V203" s="1">
        <v>147.69999999999999</v>
      </c>
      <c r="W203" s="1">
        <v>143.80000000000001</v>
      </c>
      <c r="X203" s="1">
        <v>139.4</v>
      </c>
      <c r="Y203" s="1">
        <v>128.30000000000001</v>
      </c>
      <c r="Z203" s="1">
        <v>138.6</v>
      </c>
      <c r="AA203" s="1">
        <v>146.9</v>
      </c>
      <c r="AB203" s="1">
        <v>131.30000000000001</v>
      </c>
      <c r="AC203" s="1">
        <v>136.6</v>
      </c>
      <c r="AD203" s="1">
        <v>142.5</v>
      </c>
    </row>
    <row r="204" spans="1:30" ht="12.5" x14ac:dyDescent="0.25">
      <c r="A204" s="1" t="s">
        <v>33</v>
      </c>
      <c r="B204" s="1">
        <v>2018</v>
      </c>
      <c r="C204" s="1" t="s">
        <v>41</v>
      </c>
      <c r="D204" s="1">
        <v>136.5</v>
      </c>
      <c r="E204" s="1">
        <v>146.4</v>
      </c>
      <c r="F204" s="1">
        <v>136.6</v>
      </c>
      <c r="G204" s="1">
        <v>141.19999999999999</v>
      </c>
      <c r="H204" s="1">
        <v>117.4</v>
      </c>
      <c r="I204" s="1">
        <v>146.30000000000001</v>
      </c>
      <c r="J204" s="1">
        <v>157.30000000000001</v>
      </c>
      <c r="K204" s="1">
        <v>113.6</v>
      </c>
      <c r="L204" s="1">
        <v>113.3</v>
      </c>
      <c r="M204" s="1">
        <v>141.1</v>
      </c>
      <c r="N204" s="1">
        <v>127.4</v>
      </c>
      <c r="O204" s="1">
        <v>150.4</v>
      </c>
      <c r="P204" s="1">
        <v>140.1</v>
      </c>
      <c r="Q204" s="1">
        <v>162.1</v>
      </c>
      <c r="R204" s="1">
        <v>140</v>
      </c>
      <c r="S204" s="1">
        <v>129</v>
      </c>
      <c r="T204" s="1">
        <v>138.30000000000001</v>
      </c>
      <c r="U204" s="1">
        <v>144.6</v>
      </c>
      <c r="V204" s="1">
        <v>129.80000000000001</v>
      </c>
      <c r="W204" s="1">
        <v>134.4</v>
      </c>
      <c r="X204" s="1">
        <v>134.9</v>
      </c>
      <c r="Y204" s="1">
        <v>120.7</v>
      </c>
      <c r="Z204" s="1">
        <v>129.80000000000001</v>
      </c>
      <c r="AA204" s="1">
        <v>145.30000000000001</v>
      </c>
      <c r="AB204" s="1">
        <v>128.30000000000001</v>
      </c>
      <c r="AC204" s="1">
        <v>131</v>
      </c>
      <c r="AD204" s="1">
        <v>138</v>
      </c>
    </row>
    <row r="205" spans="1:30" ht="12.5" x14ac:dyDescent="0.25">
      <c r="A205" s="1" t="s">
        <v>34</v>
      </c>
      <c r="B205" s="1">
        <v>2018</v>
      </c>
      <c r="C205" s="1" t="s">
        <v>41</v>
      </c>
      <c r="D205" s="1">
        <v>138.30000000000001</v>
      </c>
      <c r="E205" s="1">
        <v>148</v>
      </c>
      <c r="F205" s="1">
        <v>138.1</v>
      </c>
      <c r="G205" s="1">
        <v>142.6</v>
      </c>
      <c r="H205" s="1">
        <v>122.2</v>
      </c>
      <c r="I205" s="1">
        <v>150.6</v>
      </c>
      <c r="J205" s="1">
        <v>156.6</v>
      </c>
      <c r="K205" s="1">
        <v>122.4</v>
      </c>
      <c r="L205" s="1">
        <v>114.7</v>
      </c>
      <c r="M205" s="1">
        <v>139.4</v>
      </c>
      <c r="N205" s="1">
        <v>131.1</v>
      </c>
      <c r="O205" s="1">
        <v>153</v>
      </c>
      <c r="P205" s="1">
        <v>141.69999999999999</v>
      </c>
      <c r="Q205" s="1">
        <v>157.9</v>
      </c>
      <c r="R205" s="1">
        <v>147.30000000000001</v>
      </c>
      <c r="S205" s="1">
        <v>138.80000000000001</v>
      </c>
      <c r="T205" s="1">
        <v>146.1</v>
      </c>
      <c r="U205" s="1">
        <v>144.6</v>
      </c>
      <c r="V205" s="1">
        <v>140.9</v>
      </c>
      <c r="W205" s="1">
        <v>139.4</v>
      </c>
      <c r="X205" s="1">
        <v>137.69999999999999</v>
      </c>
      <c r="Y205" s="1">
        <v>124.3</v>
      </c>
      <c r="Z205" s="1">
        <v>133.6</v>
      </c>
      <c r="AA205" s="1">
        <v>146</v>
      </c>
      <c r="AB205" s="1">
        <v>130.1</v>
      </c>
      <c r="AC205" s="1">
        <v>133.9</v>
      </c>
      <c r="AD205" s="1">
        <v>140.4</v>
      </c>
    </row>
    <row r="206" spans="1:30" ht="12.5" x14ac:dyDescent="0.25">
      <c r="A206" s="1" t="s">
        <v>30</v>
      </c>
      <c r="B206" s="1">
        <v>2018</v>
      </c>
      <c r="C206" s="1" t="s">
        <v>42</v>
      </c>
      <c r="D206" s="1">
        <v>139.4</v>
      </c>
      <c r="E206" s="1">
        <v>147.19999999999999</v>
      </c>
      <c r="F206" s="1">
        <v>136.6</v>
      </c>
      <c r="G206" s="1">
        <v>143.69999999999999</v>
      </c>
      <c r="H206" s="1">
        <v>124.6</v>
      </c>
      <c r="I206" s="1">
        <v>150.1</v>
      </c>
      <c r="J206" s="1">
        <v>149.4</v>
      </c>
      <c r="K206" s="1">
        <v>125.4</v>
      </c>
      <c r="L206" s="1">
        <v>114.4</v>
      </c>
      <c r="M206" s="1">
        <v>138.69999999999999</v>
      </c>
      <c r="N206" s="1">
        <v>133.1</v>
      </c>
      <c r="O206" s="1">
        <v>155.9</v>
      </c>
      <c r="P206" s="1">
        <v>141.30000000000001</v>
      </c>
      <c r="Q206" s="1">
        <v>157.69999999999999</v>
      </c>
      <c r="R206" s="1">
        <v>152.1</v>
      </c>
      <c r="S206" s="1">
        <v>146.1</v>
      </c>
      <c r="T206" s="1">
        <v>151.30000000000001</v>
      </c>
      <c r="U206" s="1" t="s">
        <v>32</v>
      </c>
      <c r="V206" s="1">
        <v>149</v>
      </c>
      <c r="W206" s="1">
        <v>144</v>
      </c>
      <c r="X206" s="1">
        <v>140</v>
      </c>
      <c r="Y206" s="1">
        <v>129.9</v>
      </c>
      <c r="Z206" s="1">
        <v>140</v>
      </c>
      <c r="AA206" s="1">
        <v>147.6</v>
      </c>
      <c r="AB206" s="1">
        <v>132</v>
      </c>
      <c r="AC206" s="1">
        <v>137.4</v>
      </c>
      <c r="AD206" s="1">
        <v>142.1</v>
      </c>
    </row>
    <row r="207" spans="1:30" ht="12.5" x14ac:dyDescent="0.25">
      <c r="A207" s="1" t="s">
        <v>33</v>
      </c>
      <c r="B207" s="1">
        <v>2018</v>
      </c>
      <c r="C207" s="1" t="s">
        <v>42</v>
      </c>
      <c r="D207" s="1">
        <v>137</v>
      </c>
      <c r="E207" s="1">
        <v>143.1</v>
      </c>
      <c r="F207" s="1">
        <v>132.80000000000001</v>
      </c>
      <c r="G207" s="1">
        <v>141.5</v>
      </c>
      <c r="H207" s="1">
        <v>117.8</v>
      </c>
      <c r="I207" s="1">
        <v>140</v>
      </c>
      <c r="J207" s="1">
        <v>151.30000000000001</v>
      </c>
      <c r="K207" s="1">
        <v>113.5</v>
      </c>
      <c r="L207" s="1">
        <v>112.3</v>
      </c>
      <c r="M207" s="1">
        <v>141.19999999999999</v>
      </c>
      <c r="N207" s="1">
        <v>127.7</v>
      </c>
      <c r="O207" s="1">
        <v>151.30000000000001</v>
      </c>
      <c r="P207" s="1">
        <v>138.9</v>
      </c>
      <c r="Q207" s="1">
        <v>163.30000000000001</v>
      </c>
      <c r="R207" s="1">
        <v>140.80000000000001</v>
      </c>
      <c r="S207" s="1">
        <v>129.30000000000001</v>
      </c>
      <c r="T207" s="1">
        <v>139.1</v>
      </c>
      <c r="U207" s="1">
        <v>145.30000000000001</v>
      </c>
      <c r="V207" s="1">
        <v>131.19999999999999</v>
      </c>
      <c r="W207" s="1">
        <v>134.9</v>
      </c>
      <c r="X207" s="1">
        <v>135.69999999999999</v>
      </c>
      <c r="Y207" s="1">
        <v>122.5</v>
      </c>
      <c r="Z207" s="1">
        <v>130.19999999999999</v>
      </c>
      <c r="AA207" s="1">
        <v>145.19999999999999</v>
      </c>
      <c r="AB207" s="1">
        <v>129.30000000000001</v>
      </c>
      <c r="AC207" s="1">
        <v>131.9</v>
      </c>
      <c r="AD207" s="1">
        <v>138.1</v>
      </c>
    </row>
    <row r="208" spans="1:30" ht="12.5" x14ac:dyDescent="0.25">
      <c r="A208" s="1" t="s">
        <v>34</v>
      </c>
      <c r="B208" s="1">
        <v>2018</v>
      </c>
      <c r="C208" s="1" t="s">
        <v>42</v>
      </c>
      <c r="D208" s="1">
        <v>138.6</v>
      </c>
      <c r="E208" s="1">
        <v>145.80000000000001</v>
      </c>
      <c r="F208" s="1">
        <v>135.1</v>
      </c>
      <c r="G208" s="1">
        <v>142.9</v>
      </c>
      <c r="H208" s="1">
        <v>122.1</v>
      </c>
      <c r="I208" s="1">
        <v>145.4</v>
      </c>
      <c r="J208" s="1">
        <v>150</v>
      </c>
      <c r="K208" s="1">
        <v>121.4</v>
      </c>
      <c r="L208" s="1">
        <v>113.7</v>
      </c>
      <c r="M208" s="1">
        <v>139.5</v>
      </c>
      <c r="N208" s="1">
        <v>130.80000000000001</v>
      </c>
      <c r="O208" s="1">
        <v>153.80000000000001</v>
      </c>
      <c r="P208" s="1">
        <v>140.4</v>
      </c>
      <c r="Q208" s="1">
        <v>159.19999999999999</v>
      </c>
      <c r="R208" s="1">
        <v>147.69999999999999</v>
      </c>
      <c r="S208" s="1">
        <v>139.1</v>
      </c>
      <c r="T208" s="1">
        <v>146.5</v>
      </c>
      <c r="U208" s="1">
        <v>145.30000000000001</v>
      </c>
      <c r="V208" s="1">
        <v>142.30000000000001</v>
      </c>
      <c r="W208" s="1">
        <v>139.69999999999999</v>
      </c>
      <c r="X208" s="1">
        <v>138.4</v>
      </c>
      <c r="Y208" s="1">
        <v>126</v>
      </c>
      <c r="Z208" s="1">
        <v>134.5</v>
      </c>
      <c r="AA208" s="1">
        <v>146.19999999999999</v>
      </c>
      <c r="AB208" s="1">
        <v>130.9</v>
      </c>
      <c r="AC208" s="1">
        <v>134.69999999999999</v>
      </c>
      <c r="AD208" s="1">
        <v>140.19999999999999</v>
      </c>
    </row>
    <row r="209" spans="1:30" ht="12.5" x14ac:dyDescent="0.25">
      <c r="A209" s="1" t="s">
        <v>30</v>
      </c>
      <c r="B209" s="1">
        <v>2018</v>
      </c>
      <c r="C209" s="1" t="s">
        <v>43</v>
      </c>
      <c r="D209" s="1">
        <v>139.30000000000001</v>
      </c>
      <c r="E209" s="1">
        <v>147.6</v>
      </c>
      <c r="F209" s="1">
        <v>134.6</v>
      </c>
      <c r="G209" s="1">
        <v>141.9</v>
      </c>
      <c r="H209" s="1">
        <v>123.5</v>
      </c>
      <c r="I209" s="1">
        <v>144.5</v>
      </c>
      <c r="J209" s="1">
        <v>147.6</v>
      </c>
      <c r="K209" s="1">
        <v>121.4</v>
      </c>
      <c r="L209" s="1">
        <v>112.3</v>
      </c>
      <c r="M209" s="1">
        <v>139.5</v>
      </c>
      <c r="N209" s="1">
        <v>134.6</v>
      </c>
      <c r="O209" s="1">
        <v>155.19999999999999</v>
      </c>
      <c r="P209" s="1">
        <v>140.19999999999999</v>
      </c>
      <c r="Q209" s="1">
        <v>159.6</v>
      </c>
      <c r="R209" s="1">
        <v>150.69999999999999</v>
      </c>
      <c r="S209" s="1">
        <v>144.5</v>
      </c>
      <c r="T209" s="1">
        <v>149.80000000000001</v>
      </c>
      <c r="U209" s="1" t="s">
        <v>32</v>
      </c>
      <c r="V209" s="1">
        <v>149.69999999999999</v>
      </c>
      <c r="W209" s="1">
        <v>147.5</v>
      </c>
      <c r="X209" s="1">
        <v>144.80000000000001</v>
      </c>
      <c r="Y209" s="1">
        <v>130.80000000000001</v>
      </c>
      <c r="Z209" s="1">
        <v>140.1</v>
      </c>
      <c r="AA209" s="1">
        <v>148</v>
      </c>
      <c r="AB209" s="1">
        <v>134.4</v>
      </c>
      <c r="AC209" s="1">
        <v>139.80000000000001</v>
      </c>
      <c r="AD209" s="1">
        <v>142.19999999999999</v>
      </c>
    </row>
    <row r="210" spans="1:30" ht="12.5" x14ac:dyDescent="0.25">
      <c r="A210" s="1" t="s">
        <v>33</v>
      </c>
      <c r="B210" s="1">
        <v>2018</v>
      </c>
      <c r="C210" s="1" t="s">
        <v>43</v>
      </c>
      <c r="D210" s="1">
        <v>137.6</v>
      </c>
      <c r="E210" s="1">
        <v>144.9</v>
      </c>
      <c r="F210" s="1">
        <v>133.5</v>
      </c>
      <c r="G210" s="1">
        <v>141.5</v>
      </c>
      <c r="H210" s="1">
        <v>118</v>
      </c>
      <c r="I210" s="1">
        <v>139.5</v>
      </c>
      <c r="J210" s="1">
        <v>153</v>
      </c>
      <c r="K210" s="1">
        <v>113.2</v>
      </c>
      <c r="L210" s="1">
        <v>112.8</v>
      </c>
      <c r="M210" s="1">
        <v>141.1</v>
      </c>
      <c r="N210" s="1">
        <v>127.6</v>
      </c>
      <c r="O210" s="1">
        <v>152</v>
      </c>
      <c r="P210" s="1">
        <v>139.4</v>
      </c>
      <c r="Q210" s="1">
        <v>164</v>
      </c>
      <c r="R210" s="1">
        <v>141.5</v>
      </c>
      <c r="S210" s="1">
        <v>129.80000000000001</v>
      </c>
      <c r="T210" s="1">
        <v>139.69999999999999</v>
      </c>
      <c r="U210" s="1">
        <v>146.30000000000001</v>
      </c>
      <c r="V210" s="1">
        <v>133.4</v>
      </c>
      <c r="W210" s="1">
        <v>135.1</v>
      </c>
      <c r="X210" s="1">
        <v>136.19999999999999</v>
      </c>
      <c r="Y210" s="1">
        <v>123.3</v>
      </c>
      <c r="Z210" s="1">
        <v>130.69999999999999</v>
      </c>
      <c r="AA210" s="1">
        <v>145.5</v>
      </c>
      <c r="AB210" s="1">
        <v>130.4</v>
      </c>
      <c r="AC210" s="1">
        <v>132.5</v>
      </c>
      <c r="AD210" s="1">
        <v>138.9</v>
      </c>
    </row>
    <row r="211" spans="1:30" ht="12.5" x14ac:dyDescent="0.25">
      <c r="A211" s="1" t="s">
        <v>34</v>
      </c>
      <c r="B211" s="1">
        <v>2018</v>
      </c>
      <c r="C211" s="1" t="s">
        <v>43</v>
      </c>
      <c r="D211" s="1">
        <v>137.4</v>
      </c>
      <c r="E211" s="1">
        <v>149.5</v>
      </c>
      <c r="F211" s="1">
        <v>137.30000000000001</v>
      </c>
      <c r="G211" s="1">
        <v>141.9</v>
      </c>
      <c r="H211" s="1">
        <v>121.1</v>
      </c>
      <c r="I211" s="1">
        <v>142.5</v>
      </c>
      <c r="J211" s="1">
        <v>146.69999999999999</v>
      </c>
      <c r="K211" s="1">
        <v>119.1</v>
      </c>
      <c r="L211" s="1">
        <v>111.9</v>
      </c>
      <c r="M211" s="1">
        <v>141</v>
      </c>
      <c r="N211" s="1">
        <v>133.6</v>
      </c>
      <c r="O211" s="1">
        <v>154.5</v>
      </c>
      <c r="P211" s="1">
        <v>139.69999999999999</v>
      </c>
      <c r="Q211" s="1">
        <v>162.6</v>
      </c>
      <c r="R211" s="1">
        <v>148</v>
      </c>
      <c r="S211" s="1">
        <v>139.19999999999999</v>
      </c>
      <c r="T211" s="1">
        <v>146.80000000000001</v>
      </c>
      <c r="U211" s="1">
        <v>146.9</v>
      </c>
      <c r="V211" s="1">
        <v>145.30000000000001</v>
      </c>
      <c r="W211" s="1">
        <v>142.19999999999999</v>
      </c>
      <c r="X211" s="1">
        <v>142.1</v>
      </c>
      <c r="Y211" s="1">
        <v>125.5</v>
      </c>
      <c r="Z211" s="1">
        <v>136.5</v>
      </c>
      <c r="AA211" s="1">
        <v>147.80000000000001</v>
      </c>
      <c r="AB211" s="1">
        <v>132</v>
      </c>
      <c r="AC211" s="1">
        <v>136.30000000000001</v>
      </c>
      <c r="AD211" s="1">
        <v>140.80000000000001</v>
      </c>
    </row>
    <row r="212" spans="1:30" ht="12.5" x14ac:dyDescent="0.25">
      <c r="A212" s="1" t="s">
        <v>30</v>
      </c>
      <c r="B212" s="1">
        <v>2018</v>
      </c>
      <c r="C212" s="1" t="s">
        <v>44</v>
      </c>
      <c r="D212" s="1">
        <v>137.1</v>
      </c>
      <c r="E212" s="1">
        <v>150.80000000000001</v>
      </c>
      <c r="F212" s="1">
        <v>136.69999999999999</v>
      </c>
      <c r="G212" s="1">
        <v>141.9</v>
      </c>
      <c r="H212" s="1">
        <v>122.8</v>
      </c>
      <c r="I212" s="1">
        <v>143.9</v>
      </c>
      <c r="J212" s="1">
        <v>147.5</v>
      </c>
      <c r="K212" s="1">
        <v>121</v>
      </c>
      <c r="L212" s="1">
        <v>111.6</v>
      </c>
      <c r="M212" s="1">
        <v>140.6</v>
      </c>
      <c r="N212" s="1">
        <v>137.5</v>
      </c>
      <c r="O212" s="1">
        <v>156.1</v>
      </c>
      <c r="P212" s="1">
        <v>140</v>
      </c>
      <c r="Q212" s="1">
        <v>161.9</v>
      </c>
      <c r="R212" s="1">
        <v>151.69999999999999</v>
      </c>
      <c r="S212" s="1">
        <v>145.5</v>
      </c>
      <c r="T212" s="1">
        <v>150.80000000000001</v>
      </c>
      <c r="U212" s="1" t="s">
        <v>32</v>
      </c>
      <c r="V212" s="1">
        <v>150.30000000000001</v>
      </c>
      <c r="W212" s="1">
        <v>148</v>
      </c>
      <c r="X212" s="1">
        <v>145.4</v>
      </c>
      <c r="Y212" s="1">
        <v>130.30000000000001</v>
      </c>
      <c r="Z212" s="1">
        <v>143.1</v>
      </c>
      <c r="AA212" s="1">
        <v>150.19999999999999</v>
      </c>
      <c r="AB212" s="1">
        <v>133.1</v>
      </c>
      <c r="AC212" s="1">
        <v>140.1</v>
      </c>
      <c r="AD212" s="1">
        <v>142.4</v>
      </c>
    </row>
    <row r="213" spans="1:30" ht="12.5" x14ac:dyDescent="0.25">
      <c r="A213" s="1" t="s">
        <v>33</v>
      </c>
      <c r="B213" s="1">
        <v>2018</v>
      </c>
      <c r="C213" s="1" t="s">
        <v>44</v>
      </c>
      <c r="D213" s="1">
        <v>138.1</v>
      </c>
      <c r="E213" s="1">
        <v>146.30000000000001</v>
      </c>
      <c r="F213" s="1">
        <v>137.80000000000001</v>
      </c>
      <c r="G213" s="1">
        <v>141.6</v>
      </c>
      <c r="H213" s="1">
        <v>118.1</v>
      </c>
      <c r="I213" s="1">
        <v>141.5</v>
      </c>
      <c r="J213" s="1">
        <v>145.19999999999999</v>
      </c>
      <c r="K213" s="1">
        <v>115.3</v>
      </c>
      <c r="L213" s="1">
        <v>112.5</v>
      </c>
      <c r="M213" s="1">
        <v>141.4</v>
      </c>
      <c r="N213" s="1">
        <v>128</v>
      </c>
      <c r="O213" s="1">
        <v>152.6</v>
      </c>
      <c r="P213" s="1">
        <v>139.1</v>
      </c>
      <c r="Q213" s="1">
        <v>164.4</v>
      </c>
      <c r="R213" s="1">
        <v>142.4</v>
      </c>
      <c r="S213" s="1">
        <v>130.19999999999999</v>
      </c>
      <c r="T213" s="1">
        <v>140.5</v>
      </c>
      <c r="U213" s="1">
        <v>146.9</v>
      </c>
      <c r="V213" s="1">
        <v>136.69999999999999</v>
      </c>
      <c r="W213" s="1">
        <v>135.80000000000001</v>
      </c>
      <c r="X213" s="1">
        <v>136.80000000000001</v>
      </c>
      <c r="Y213" s="1">
        <v>121.2</v>
      </c>
      <c r="Z213" s="1">
        <v>131.30000000000001</v>
      </c>
      <c r="AA213" s="1">
        <v>146.1</v>
      </c>
      <c r="AB213" s="1">
        <v>130.5</v>
      </c>
      <c r="AC213" s="1">
        <v>132.19999999999999</v>
      </c>
      <c r="AD213" s="1">
        <v>139</v>
      </c>
    </row>
    <row r="214" spans="1:30" ht="12.5" x14ac:dyDescent="0.25">
      <c r="A214" s="1" t="s">
        <v>34</v>
      </c>
      <c r="B214" s="1">
        <v>2018</v>
      </c>
      <c r="C214" s="1" t="s">
        <v>44</v>
      </c>
      <c r="D214" s="1">
        <v>137.4</v>
      </c>
      <c r="E214" s="1">
        <v>149.19999999999999</v>
      </c>
      <c r="F214" s="1">
        <v>137.1</v>
      </c>
      <c r="G214" s="1">
        <v>141.80000000000001</v>
      </c>
      <c r="H214" s="1">
        <v>121.1</v>
      </c>
      <c r="I214" s="1">
        <v>142.80000000000001</v>
      </c>
      <c r="J214" s="1">
        <v>146.69999999999999</v>
      </c>
      <c r="K214" s="1">
        <v>119.1</v>
      </c>
      <c r="L214" s="1">
        <v>111.9</v>
      </c>
      <c r="M214" s="1">
        <v>140.9</v>
      </c>
      <c r="N214" s="1">
        <v>133.5</v>
      </c>
      <c r="O214" s="1">
        <v>154.5</v>
      </c>
      <c r="P214" s="1">
        <v>139.69999999999999</v>
      </c>
      <c r="Q214" s="1">
        <v>162.6</v>
      </c>
      <c r="R214" s="1">
        <v>148</v>
      </c>
      <c r="S214" s="1">
        <v>139.1</v>
      </c>
      <c r="T214" s="1">
        <v>146.69999999999999</v>
      </c>
      <c r="U214" s="1">
        <v>146.9</v>
      </c>
      <c r="V214" s="1">
        <v>145.1</v>
      </c>
      <c r="W214" s="1">
        <v>142.19999999999999</v>
      </c>
      <c r="X214" s="1">
        <v>142.1</v>
      </c>
      <c r="Y214" s="1">
        <v>125.5</v>
      </c>
      <c r="Z214" s="1">
        <v>136.5</v>
      </c>
      <c r="AA214" s="1">
        <v>147.80000000000001</v>
      </c>
      <c r="AB214" s="1">
        <v>132</v>
      </c>
      <c r="AC214" s="1">
        <v>136.30000000000001</v>
      </c>
      <c r="AD214" s="1">
        <v>140.80000000000001</v>
      </c>
    </row>
    <row r="215" spans="1:30" ht="12.5" x14ac:dyDescent="0.25">
      <c r="A215" s="1" t="s">
        <v>30</v>
      </c>
      <c r="B215" s="1">
        <v>2018</v>
      </c>
      <c r="C215" s="1" t="s">
        <v>45</v>
      </c>
      <c r="D215" s="1">
        <v>137.1</v>
      </c>
      <c r="E215" s="1">
        <v>151.9</v>
      </c>
      <c r="F215" s="1">
        <v>137.4</v>
      </c>
      <c r="G215" s="1">
        <v>142.4</v>
      </c>
      <c r="H215" s="1">
        <v>124.2</v>
      </c>
      <c r="I215" s="1">
        <v>140.19999999999999</v>
      </c>
      <c r="J215" s="1">
        <v>136.6</v>
      </c>
      <c r="K215" s="1">
        <v>120.9</v>
      </c>
      <c r="L215" s="1">
        <v>109.9</v>
      </c>
      <c r="M215" s="1">
        <v>140.19999999999999</v>
      </c>
      <c r="N215" s="1">
        <v>137.80000000000001</v>
      </c>
      <c r="O215" s="1">
        <v>156</v>
      </c>
      <c r="P215" s="1">
        <v>138.5</v>
      </c>
      <c r="Q215" s="1">
        <v>162.4</v>
      </c>
      <c r="R215" s="1">
        <v>151.6</v>
      </c>
      <c r="S215" s="1">
        <v>145.9</v>
      </c>
      <c r="T215" s="1">
        <v>150.80000000000001</v>
      </c>
      <c r="U215" s="1" t="s">
        <v>32</v>
      </c>
      <c r="V215" s="1">
        <v>149</v>
      </c>
      <c r="W215" s="1">
        <v>149.5</v>
      </c>
      <c r="X215" s="1">
        <v>149.6</v>
      </c>
      <c r="Y215" s="1">
        <v>128.9</v>
      </c>
      <c r="Z215" s="1">
        <v>143.30000000000001</v>
      </c>
      <c r="AA215" s="1">
        <v>155.1</v>
      </c>
      <c r="AB215" s="1">
        <v>133.19999999999999</v>
      </c>
      <c r="AC215" s="1">
        <v>141.6</v>
      </c>
      <c r="AD215" s="1">
        <v>141.9</v>
      </c>
    </row>
    <row r="216" spans="1:30" ht="12.5" x14ac:dyDescent="0.25">
      <c r="A216" s="1" t="s">
        <v>33</v>
      </c>
      <c r="B216" s="1">
        <v>2018</v>
      </c>
      <c r="C216" s="1" t="s">
        <v>45</v>
      </c>
      <c r="D216" s="1">
        <v>138.5</v>
      </c>
      <c r="E216" s="1">
        <v>147.80000000000001</v>
      </c>
      <c r="F216" s="1">
        <v>141.1</v>
      </c>
      <c r="G216" s="1">
        <v>141.6</v>
      </c>
      <c r="H216" s="1">
        <v>118.1</v>
      </c>
      <c r="I216" s="1">
        <v>138.5</v>
      </c>
      <c r="J216" s="1">
        <v>132.4</v>
      </c>
      <c r="K216" s="1">
        <v>117.5</v>
      </c>
      <c r="L216" s="1">
        <v>111</v>
      </c>
      <c r="M216" s="1">
        <v>141.5</v>
      </c>
      <c r="N216" s="1">
        <v>128.1</v>
      </c>
      <c r="O216" s="1">
        <v>152.9</v>
      </c>
      <c r="P216" s="1">
        <v>137.6</v>
      </c>
      <c r="Q216" s="1">
        <v>164.6</v>
      </c>
      <c r="R216" s="1">
        <v>142.69999999999999</v>
      </c>
      <c r="S216" s="1">
        <v>130.30000000000001</v>
      </c>
      <c r="T216" s="1">
        <v>140.80000000000001</v>
      </c>
      <c r="U216" s="1">
        <v>146.5</v>
      </c>
      <c r="V216" s="1">
        <v>132.4</v>
      </c>
      <c r="W216" s="1">
        <v>136.19999999999999</v>
      </c>
      <c r="X216" s="1">
        <v>137.30000000000001</v>
      </c>
      <c r="Y216" s="1">
        <v>118.8</v>
      </c>
      <c r="Z216" s="1">
        <v>131.69999999999999</v>
      </c>
      <c r="AA216" s="1">
        <v>146.5</v>
      </c>
      <c r="AB216" s="1">
        <v>130.80000000000001</v>
      </c>
      <c r="AC216" s="1">
        <v>131.69999999999999</v>
      </c>
      <c r="AD216" s="1">
        <v>138</v>
      </c>
    </row>
    <row r="217" spans="1:30" ht="12.5" x14ac:dyDescent="0.25">
      <c r="A217" s="1" t="s">
        <v>34</v>
      </c>
      <c r="B217" s="1">
        <v>2018</v>
      </c>
      <c r="C217" s="1" t="s">
        <v>45</v>
      </c>
      <c r="D217" s="1">
        <v>137.5</v>
      </c>
      <c r="E217" s="1">
        <v>150.5</v>
      </c>
      <c r="F217" s="1">
        <v>138.80000000000001</v>
      </c>
      <c r="G217" s="1">
        <v>142.1</v>
      </c>
      <c r="H217" s="1">
        <v>122</v>
      </c>
      <c r="I217" s="1">
        <v>139.4</v>
      </c>
      <c r="J217" s="1">
        <v>135.19999999999999</v>
      </c>
      <c r="K217" s="1">
        <v>119.8</v>
      </c>
      <c r="L217" s="1">
        <v>110.3</v>
      </c>
      <c r="M217" s="1">
        <v>140.6</v>
      </c>
      <c r="N217" s="1">
        <v>133.80000000000001</v>
      </c>
      <c r="O217" s="1">
        <v>154.6</v>
      </c>
      <c r="P217" s="1">
        <v>138.19999999999999</v>
      </c>
      <c r="Q217" s="1">
        <v>163</v>
      </c>
      <c r="R217" s="1">
        <v>148.1</v>
      </c>
      <c r="S217" s="1">
        <v>139.4</v>
      </c>
      <c r="T217" s="1">
        <v>146.80000000000001</v>
      </c>
      <c r="U217" s="1">
        <v>146.5</v>
      </c>
      <c r="V217" s="1">
        <v>142.69999999999999</v>
      </c>
      <c r="W217" s="1">
        <v>143.19999999999999</v>
      </c>
      <c r="X217" s="1">
        <v>144.9</v>
      </c>
      <c r="Y217" s="1">
        <v>123.6</v>
      </c>
      <c r="Z217" s="1">
        <v>136.80000000000001</v>
      </c>
      <c r="AA217" s="1">
        <v>150.1</v>
      </c>
      <c r="AB217" s="1">
        <v>132.19999999999999</v>
      </c>
      <c r="AC217" s="1">
        <v>136.80000000000001</v>
      </c>
      <c r="AD217" s="1">
        <v>140.1</v>
      </c>
    </row>
    <row r="218" spans="1:30" ht="12.5" x14ac:dyDescent="0.25">
      <c r="A218" s="1" t="s">
        <v>30</v>
      </c>
      <c r="B218" s="1">
        <v>2019</v>
      </c>
      <c r="C218" s="1" t="s">
        <v>31</v>
      </c>
      <c r="D218" s="1">
        <v>136.6</v>
      </c>
      <c r="E218" s="1">
        <v>152.5</v>
      </c>
      <c r="F218" s="1">
        <v>138.19999999999999</v>
      </c>
      <c r="G218" s="1">
        <v>142.4</v>
      </c>
      <c r="H218" s="1">
        <v>123.9</v>
      </c>
      <c r="I218" s="1">
        <v>135.5</v>
      </c>
      <c r="J218" s="1">
        <v>131.69999999999999</v>
      </c>
      <c r="K218" s="1">
        <v>121.3</v>
      </c>
      <c r="L218" s="1">
        <v>108.4</v>
      </c>
      <c r="M218" s="1">
        <v>138.9</v>
      </c>
      <c r="N218" s="1">
        <v>137</v>
      </c>
      <c r="O218" s="1">
        <v>155.80000000000001</v>
      </c>
      <c r="P218" s="1">
        <v>137.4</v>
      </c>
      <c r="Q218" s="1">
        <v>162.69999999999999</v>
      </c>
      <c r="R218" s="1">
        <v>150.6</v>
      </c>
      <c r="S218" s="1">
        <v>145.1</v>
      </c>
      <c r="T218" s="1">
        <v>149.9</v>
      </c>
      <c r="U218" s="1" t="s">
        <v>32</v>
      </c>
      <c r="V218" s="1">
        <v>146.19999999999999</v>
      </c>
      <c r="W218" s="1">
        <v>150.1</v>
      </c>
      <c r="X218" s="1">
        <v>149.6</v>
      </c>
      <c r="Y218" s="1">
        <v>128.6</v>
      </c>
      <c r="Z218" s="1">
        <v>142.9</v>
      </c>
      <c r="AA218" s="1">
        <v>155.19999999999999</v>
      </c>
      <c r="AB218" s="1">
        <v>133.5</v>
      </c>
      <c r="AC218" s="1">
        <v>141.69999999999999</v>
      </c>
      <c r="AD218" s="1">
        <v>141</v>
      </c>
    </row>
    <row r="219" spans="1:30" ht="12.5" x14ac:dyDescent="0.25">
      <c r="A219" s="1" t="s">
        <v>33</v>
      </c>
      <c r="B219" s="1">
        <v>2019</v>
      </c>
      <c r="C219" s="1" t="s">
        <v>31</v>
      </c>
      <c r="D219" s="1">
        <v>138.30000000000001</v>
      </c>
      <c r="E219" s="1">
        <v>149.4</v>
      </c>
      <c r="F219" s="1">
        <v>143.5</v>
      </c>
      <c r="G219" s="1">
        <v>141.69999999999999</v>
      </c>
      <c r="H219" s="1">
        <v>118.1</v>
      </c>
      <c r="I219" s="1">
        <v>135.19999999999999</v>
      </c>
      <c r="J219" s="1">
        <v>130.5</v>
      </c>
      <c r="K219" s="1">
        <v>118.2</v>
      </c>
      <c r="L219" s="1">
        <v>110.4</v>
      </c>
      <c r="M219" s="1">
        <v>140.4</v>
      </c>
      <c r="N219" s="1">
        <v>128.1</v>
      </c>
      <c r="O219" s="1">
        <v>153.19999999999999</v>
      </c>
      <c r="P219" s="1">
        <v>137.30000000000001</v>
      </c>
      <c r="Q219" s="1">
        <v>164.7</v>
      </c>
      <c r="R219" s="1">
        <v>143</v>
      </c>
      <c r="S219" s="1">
        <v>130.4</v>
      </c>
      <c r="T219" s="1">
        <v>141.1</v>
      </c>
      <c r="U219" s="1">
        <v>147.69999999999999</v>
      </c>
      <c r="V219" s="1">
        <v>128.6</v>
      </c>
      <c r="W219" s="1">
        <v>136.30000000000001</v>
      </c>
      <c r="X219" s="1">
        <v>137.80000000000001</v>
      </c>
      <c r="Y219" s="1">
        <v>118.6</v>
      </c>
      <c r="Z219" s="1">
        <v>131.9</v>
      </c>
      <c r="AA219" s="1">
        <v>146.6</v>
      </c>
      <c r="AB219" s="1">
        <v>131.69999999999999</v>
      </c>
      <c r="AC219" s="1">
        <v>131.80000000000001</v>
      </c>
      <c r="AD219" s="1">
        <v>138</v>
      </c>
    </row>
    <row r="220" spans="1:30" ht="12.5" x14ac:dyDescent="0.25">
      <c r="A220" s="1" t="s">
        <v>34</v>
      </c>
      <c r="B220" s="1">
        <v>2019</v>
      </c>
      <c r="C220" s="1" t="s">
        <v>31</v>
      </c>
      <c r="D220" s="1">
        <v>137.1</v>
      </c>
      <c r="E220" s="1">
        <v>151.4</v>
      </c>
      <c r="F220" s="1">
        <v>140.19999999999999</v>
      </c>
      <c r="G220" s="1">
        <v>142.1</v>
      </c>
      <c r="H220" s="1">
        <v>121.8</v>
      </c>
      <c r="I220" s="1">
        <v>135.4</v>
      </c>
      <c r="J220" s="1">
        <v>131.30000000000001</v>
      </c>
      <c r="K220" s="1">
        <v>120.3</v>
      </c>
      <c r="L220" s="1">
        <v>109.1</v>
      </c>
      <c r="M220" s="1">
        <v>139.4</v>
      </c>
      <c r="N220" s="1">
        <v>133.30000000000001</v>
      </c>
      <c r="O220" s="1">
        <v>154.6</v>
      </c>
      <c r="P220" s="1">
        <v>137.4</v>
      </c>
      <c r="Q220" s="1">
        <v>163.19999999999999</v>
      </c>
      <c r="R220" s="1">
        <v>147.6</v>
      </c>
      <c r="S220" s="1">
        <v>139</v>
      </c>
      <c r="T220" s="1">
        <v>146.4</v>
      </c>
      <c r="U220" s="1">
        <v>147.69999999999999</v>
      </c>
      <c r="V220" s="1">
        <v>139.5</v>
      </c>
      <c r="W220" s="1">
        <v>143.6</v>
      </c>
      <c r="X220" s="1">
        <v>145.1</v>
      </c>
      <c r="Y220" s="1">
        <v>123.3</v>
      </c>
      <c r="Z220" s="1">
        <v>136.69999999999999</v>
      </c>
      <c r="AA220" s="1">
        <v>150.19999999999999</v>
      </c>
      <c r="AB220" s="1">
        <v>132.80000000000001</v>
      </c>
      <c r="AC220" s="1">
        <v>136.9</v>
      </c>
      <c r="AD220" s="1">
        <v>139.6</v>
      </c>
    </row>
    <row r="221" spans="1:30" ht="12.5" x14ac:dyDescent="0.25">
      <c r="A221" s="1" t="s">
        <v>30</v>
      </c>
      <c r="B221" s="1">
        <v>2019</v>
      </c>
      <c r="C221" s="1" t="s">
        <v>35</v>
      </c>
      <c r="D221" s="1">
        <v>136.80000000000001</v>
      </c>
      <c r="E221" s="1">
        <v>153</v>
      </c>
      <c r="F221" s="1">
        <v>139.1</v>
      </c>
      <c r="G221" s="1">
        <v>142.5</v>
      </c>
      <c r="H221" s="1">
        <v>124.1</v>
      </c>
      <c r="I221" s="1">
        <v>135.80000000000001</v>
      </c>
      <c r="J221" s="1">
        <v>128.69999999999999</v>
      </c>
      <c r="K221" s="1">
        <v>121.5</v>
      </c>
      <c r="L221" s="1">
        <v>108.3</v>
      </c>
      <c r="M221" s="1">
        <v>139.19999999999999</v>
      </c>
      <c r="N221" s="1">
        <v>137.4</v>
      </c>
      <c r="O221" s="1">
        <v>156.19999999999999</v>
      </c>
      <c r="P221" s="1">
        <v>137.19999999999999</v>
      </c>
      <c r="Q221" s="1">
        <v>162.80000000000001</v>
      </c>
      <c r="R221" s="1">
        <v>150.5</v>
      </c>
      <c r="S221" s="1">
        <v>146.1</v>
      </c>
      <c r="T221" s="1">
        <v>149.9</v>
      </c>
      <c r="U221" s="1" t="s">
        <v>32</v>
      </c>
      <c r="V221" s="1">
        <v>145.30000000000001</v>
      </c>
      <c r="W221" s="1">
        <v>150.1</v>
      </c>
      <c r="X221" s="1">
        <v>149.9</v>
      </c>
      <c r="Y221" s="1">
        <v>129.19999999999999</v>
      </c>
      <c r="Z221" s="1">
        <v>143.4</v>
      </c>
      <c r="AA221" s="1">
        <v>155.5</v>
      </c>
      <c r="AB221" s="1">
        <v>134.9</v>
      </c>
      <c r="AC221" s="1">
        <v>142.19999999999999</v>
      </c>
      <c r="AD221" s="1">
        <v>141</v>
      </c>
    </row>
    <row r="222" spans="1:30" ht="12.5" x14ac:dyDescent="0.25">
      <c r="A222" s="1" t="s">
        <v>33</v>
      </c>
      <c r="B222" s="1">
        <v>2019</v>
      </c>
      <c r="C222" s="1" t="s">
        <v>35</v>
      </c>
      <c r="D222" s="1">
        <v>139.4</v>
      </c>
      <c r="E222" s="1">
        <v>150.1</v>
      </c>
      <c r="F222" s="1">
        <v>145.30000000000001</v>
      </c>
      <c r="G222" s="1">
        <v>141.69999999999999</v>
      </c>
      <c r="H222" s="1">
        <v>118.4</v>
      </c>
      <c r="I222" s="1">
        <v>137</v>
      </c>
      <c r="J222" s="1">
        <v>131.6</v>
      </c>
      <c r="K222" s="1">
        <v>119.9</v>
      </c>
      <c r="L222" s="1">
        <v>110.4</v>
      </c>
      <c r="M222" s="1">
        <v>140.80000000000001</v>
      </c>
      <c r="N222" s="1">
        <v>128.30000000000001</v>
      </c>
      <c r="O222" s="1">
        <v>153.5</v>
      </c>
      <c r="P222" s="1">
        <v>138</v>
      </c>
      <c r="Q222" s="1">
        <v>164.9</v>
      </c>
      <c r="R222" s="1">
        <v>143.30000000000001</v>
      </c>
      <c r="S222" s="1">
        <v>130.80000000000001</v>
      </c>
      <c r="T222" s="1">
        <v>141.4</v>
      </c>
      <c r="U222" s="1">
        <v>148.5</v>
      </c>
      <c r="V222" s="1">
        <v>127.1</v>
      </c>
      <c r="W222" s="1">
        <v>136.6</v>
      </c>
      <c r="X222" s="1">
        <v>138.5</v>
      </c>
      <c r="Y222" s="1">
        <v>119.2</v>
      </c>
      <c r="Z222" s="1">
        <v>132.19999999999999</v>
      </c>
      <c r="AA222" s="1">
        <v>146.6</v>
      </c>
      <c r="AB222" s="1">
        <v>133</v>
      </c>
      <c r="AC222" s="1">
        <v>132.4</v>
      </c>
      <c r="AD222" s="1">
        <v>138.6</v>
      </c>
    </row>
    <row r="223" spans="1:30" ht="12.5" x14ac:dyDescent="0.25">
      <c r="A223" s="1" t="s">
        <v>34</v>
      </c>
      <c r="B223" s="1">
        <v>2019</v>
      </c>
      <c r="C223" s="1" t="s">
        <v>35</v>
      </c>
      <c r="D223" s="1">
        <v>137.6</v>
      </c>
      <c r="E223" s="1">
        <v>152</v>
      </c>
      <c r="F223" s="1">
        <v>141.5</v>
      </c>
      <c r="G223" s="1">
        <v>142.19999999999999</v>
      </c>
      <c r="H223" s="1">
        <v>122</v>
      </c>
      <c r="I223" s="1">
        <v>136.4</v>
      </c>
      <c r="J223" s="1">
        <v>129.69999999999999</v>
      </c>
      <c r="K223" s="1">
        <v>121</v>
      </c>
      <c r="L223" s="1">
        <v>109</v>
      </c>
      <c r="M223" s="1">
        <v>139.69999999999999</v>
      </c>
      <c r="N223" s="1">
        <v>133.6</v>
      </c>
      <c r="O223" s="1">
        <v>154.9</v>
      </c>
      <c r="P223" s="1">
        <v>137.5</v>
      </c>
      <c r="Q223" s="1">
        <v>163.4</v>
      </c>
      <c r="R223" s="1">
        <v>147.69999999999999</v>
      </c>
      <c r="S223" s="1">
        <v>139.69999999999999</v>
      </c>
      <c r="T223" s="1">
        <v>146.5</v>
      </c>
      <c r="U223" s="1">
        <v>148.5</v>
      </c>
      <c r="V223" s="1">
        <v>138.4</v>
      </c>
      <c r="W223" s="1">
        <v>143.69999999999999</v>
      </c>
      <c r="X223" s="1">
        <v>145.6</v>
      </c>
      <c r="Y223" s="1">
        <v>123.9</v>
      </c>
      <c r="Z223" s="1">
        <v>137.1</v>
      </c>
      <c r="AA223" s="1">
        <v>150.30000000000001</v>
      </c>
      <c r="AB223" s="1">
        <v>134.1</v>
      </c>
      <c r="AC223" s="1">
        <v>137.4</v>
      </c>
      <c r="AD223" s="1">
        <v>139.9</v>
      </c>
    </row>
    <row r="224" spans="1:30" ht="12.5" x14ac:dyDescent="0.25">
      <c r="A224" s="1" t="s">
        <v>30</v>
      </c>
      <c r="B224" s="1">
        <v>2019</v>
      </c>
      <c r="C224" s="1" t="s">
        <v>36</v>
      </c>
      <c r="D224" s="1">
        <v>136.9</v>
      </c>
      <c r="E224" s="1">
        <v>154.1</v>
      </c>
      <c r="F224" s="1">
        <v>138.69999999999999</v>
      </c>
      <c r="G224" s="1">
        <v>142.5</v>
      </c>
      <c r="H224" s="1">
        <v>124.1</v>
      </c>
      <c r="I224" s="1">
        <v>136.1</v>
      </c>
      <c r="J224" s="1">
        <v>128.19999999999999</v>
      </c>
      <c r="K224" s="1">
        <v>122.3</v>
      </c>
      <c r="L224" s="1">
        <v>108.3</v>
      </c>
      <c r="M224" s="1">
        <v>138.9</v>
      </c>
      <c r="N224" s="1">
        <v>137.4</v>
      </c>
      <c r="O224" s="1">
        <v>156.4</v>
      </c>
      <c r="P224" s="1">
        <v>137.30000000000001</v>
      </c>
      <c r="Q224" s="1">
        <v>162.9</v>
      </c>
      <c r="R224" s="1">
        <v>150.80000000000001</v>
      </c>
      <c r="S224" s="1">
        <v>146.1</v>
      </c>
      <c r="T224" s="1">
        <v>150.1</v>
      </c>
      <c r="U224" s="1" t="s">
        <v>32</v>
      </c>
      <c r="V224" s="1">
        <v>146.4</v>
      </c>
      <c r="W224" s="1">
        <v>150</v>
      </c>
      <c r="X224" s="1">
        <v>150.4</v>
      </c>
      <c r="Y224" s="1">
        <v>129.9</v>
      </c>
      <c r="Z224" s="1">
        <v>143.80000000000001</v>
      </c>
      <c r="AA224" s="1">
        <v>155.5</v>
      </c>
      <c r="AB224" s="1">
        <v>134</v>
      </c>
      <c r="AC224" s="1">
        <v>142.4</v>
      </c>
      <c r="AD224" s="1">
        <v>141.19999999999999</v>
      </c>
    </row>
    <row r="225" spans="1:30" ht="12.5" x14ac:dyDescent="0.25">
      <c r="A225" s="1" t="s">
        <v>33</v>
      </c>
      <c r="B225" s="1">
        <v>2019</v>
      </c>
      <c r="C225" s="1" t="s">
        <v>36</v>
      </c>
      <c r="D225" s="1">
        <v>139.69999999999999</v>
      </c>
      <c r="E225" s="1">
        <v>151.1</v>
      </c>
      <c r="F225" s="1">
        <v>142.9</v>
      </c>
      <c r="G225" s="1">
        <v>141.9</v>
      </c>
      <c r="H225" s="1">
        <v>118.4</v>
      </c>
      <c r="I225" s="1">
        <v>139.4</v>
      </c>
      <c r="J225" s="1">
        <v>141.19999999999999</v>
      </c>
      <c r="K225" s="1">
        <v>120.7</v>
      </c>
      <c r="L225" s="1">
        <v>110.4</v>
      </c>
      <c r="M225" s="1">
        <v>140.69999999999999</v>
      </c>
      <c r="N225" s="1">
        <v>128.5</v>
      </c>
      <c r="O225" s="1">
        <v>153.9</v>
      </c>
      <c r="P225" s="1">
        <v>139.6</v>
      </c>
      <c r="Q225" s="1">
        <v>165.3</v>
      </c>
      <c r="R225" s="1">
        <v>143.5</v>
      </c>
      <c r="S225" s="1">
        <v>131.19999999999999</v>
      </c>
      <c r="T225" s="1">
        <v>141.6</v>
      </c>
      <c r="U225" s="1">
        <v>149</v>
      </c>
      <c r="V225" s="1">
        <v>128.80000000000001</v>
      </c>
      <c r="W225" s="1">
        <v>136.80000000000001</v>
      </c>
      <c r="X225" s="1">
        <v>139.19999999999999</v>
      </c>
      <c r="Y225" s="1">
        <v>119.9</v>
      </c>
      <c r="Z225" s="1">
        <v>133</v>
      </c>
      <c r="AA225" s="1">
        <v>146.69999999999999</v>
      </c>
      <c r="AB225" s="1">
        <v>132.5</v>
      </c>
      <c r="AC225" s="1">
        <v>132.80000000000001</v>
      </c>
      <c r="AD225" s="1">
        <v>139.5</v>
      </c>
    </row>
    <row r="226" spans="1:30" ht="12.5" x14ac:dyDescent="0.25">
      <c r="A226" s="1" t="s">
        <v>34</v>
      </c>
      <c r="B226" s="1">
        <v>2019</v>
      </c>
      <c r="C226" s="1" t="s">
        <v>36</v>
      </c>
      <c r="D226" s="1">
        <v>137.80000000000001</v>
      </c>
      <c r="E226" s="1">
        <v>153</v>
      </c>
      <c r="F226" s="1">
        <v>140.30000000000001</v>
      </c>
      <c r="G226" s="1">
        <v>142.30000000000001</v>
      </c>
      <c r="H226" s="1">
        <v>122</v>
      </c>
      <c r="I226" s="1">
        <v>137.6</v>
      </c>
      <c r="J226" s="1">
        <v>132.6</v>
      </c>
      <c r="K226" s="1">
        <v>121.8</v>
      </c>
      <c r="L226" s="1">
        <v>109</v>
      </c>
      <c r="M226" s="1">
        <v>139.5</v>
      </c>
      <c r="N226" s="1">
        <v>133.69999999999999</v>
      </c>
      <c r="O226" s="1">
        <v>155.19999999999999</v>
      </c>
      <c r="P226" s="1">
        <v>138.1</v>
      </c>
      <c r="Q226" s="1">
        <v>163.5</v>
      </c>
      <c r="R226" s="1">
        <v>147.9</v>
      </c>
      <c r="S226" s="1">
        <v>139.9</v>
      </c>
      <c r="T226" s="1">
        <v>146.69999999999999</v>
      </c>
      <c r="U226" s="1">
        <v>149</v>
      </c>
      <c r="V226" s="1">
        <v>139.69999999999999</v>
      </c>
      <c r="W226" s="1">
        <v>143.80000000000001</v>
      </c>
      <c r="X226" s="1">
        <v>146.19999999999999</v>
      </c>
      <c r="Y226" s="1">
        <v>124.6</v>
      </c>
      <c r="Z226" s="1">
        <v>137.69999999999999</v>
      </c>
      <c r="AA226" s="1">
        <v>150.30000000000001</v>
      </c>
      <c r="AB226" s="1">
        <v>133.4</v>
      </c>
      <c r="AC226" s="1">
        <v>137.69999999999999</v>
      </c>
      <c r="AD226" s="1">
        <v>140.4</v>
      </c>
    </row>
    <row r="227" spans="1:30" ht="12.5" x14ac:dyDescent="0.25">
      <c r="A227" s="1" t="s">
        <v>30</v>
      </c>
      <c r="B227" s="1">
        <v>2019</v>
      </c>
      <c r="C227" s="1" t="s">
        <v>38</v>
      </c>
      <c r="D227" s="1">
        <v>137.4</v>
      </c>
      <c r="E227" s="1">
        <v>159.5</v>
      </c>
      <c r="F227" s="1">
        <v>134.5</v>
      </c>
      <c r="G227" s="1">
        <v>142.6</v>
      </c>
      <c r="H227" s="1">
        <v>124</v>
      </c>
      <c r="I227" s="1">
        <v>143.69999999999999</v>
      </c>
      <c r="J227" s="1">
        <v>133.4</v>
      </c>
      <c r="K227" s="1">
        <v>125.1</v>
      </c>
      <c r="L227" s="1">
        <v>109.3</v>
      </c>
      <c r="M227" s="1">
        <v>139.30000000000001</v>
      </c>
      <c r="N227" s="1">
        <v>137.69999999999999</v>
      </c>
      <c r="O227" s="1">
        <v>156.4</v>
      </c>
      <c r="P227" s="1">
        <v>139.19999999999999</v>
      </c>
      <c r="Q227" s="1">
        <v>163.30000000000001</v>
      </c>
      <c r="R227" s="1">
        <v>151.30000000000001</v>
      </c>
      <c r="S227" s="1">
        <v>146.6</v>
      </c>
      <c r="T227" s="1">
        <v>150.69999999999999</v>
      </c>
      <c r="U227" s="1" t="s">
        <v>32</v>
      </c>
      <c r="V227" s="1">
        <v>146.9</v>
      </c>
      <c r="W227" s="1">
        <v>149.5</v>
      </c>
      <c r="X227" s="1">
        <v>151.30000000000001</v>
      </c>
      <c r="Y227" s="1">
        <v>130.19999999999999</v>
      </c>
      <c r="Z227" s="1">
        <v>145.9</v>
      </c>
      <c r="AA227" s="1">
        <v>156.69999999999999</v>
      </c>
      <c r="AB227" s="1">
        <v>133.9</v>
      </c>
      <c r="AC227" s="1">
        <v>142.9</v>
      </c>
      <c r="AD227" s="1">
        <v>142.4</v>
      </c>
    </row>
    <row r="228" spans="1:30" ht="12.5" x14ac:dyDescent="0.25">
      <c r="A228" s="1" t="s">
        <v>33</v>
      </c>
      <c r="B228" s="1">
        <v>2019</v>
      </c>
      <c r="C228" s="1" t="s">
        <v>38</v>
      </c>
      <c r="D228" s="1">
        <v>140.4</v>
      </c>
      <c r="E228" s="1">
        <v>156.69999999999999</v>
      </c>
      <c r="F228" s="1">
        <v>138.30000000000001</v>
      </c>
      <c r="G228" s="1">
        <v>142.4</v>
      </c>
      <c r="H228" s="1">
        <v>118.6</v>
      </c>
      <c r="I228" s="1">
        <v>149.69999999999999</v>
      </c>
      <c r="J228" s="1">
        <v>161.6</v>
      </c>
      <c r="K228" s="1">
        <v>124.4</v>
      </c>
      <c r="L228" s="1">
        <v>111.2</v>
      </c>
      <c r="M228" s="1">
        <v>141</v>
      </c>
      <c r="N228" s="1">
        <v>128.9</v>
      </c>
      <c r="O228" s="1">
        <v>154.5</v>
      </c>
      <c r="P228" s="1">
        <v>143.80000000000001</v>
      </c>
      <c r="Q228" s="1">
        <v>166.2</v>
      </c>
      <c r="R228" s="1">
        <v>144</v>
      </c>
      <c r="S228" s="1">
        <v>131.69999999999999</v>
      </c>
      <c r="T228" s="1">
        <v>142.19999999999999</v>
      </c>
      <c r="U228" s="1">
        <v>150.1</v>
      </c>
      <c r="V228" s="1">
        <v>129.4</v>
      </c>
      <c r="W228" s="1">
        <v>137.19999999999999</v>
      </c>
      <c r="X228" s="1">
        <v>139.80000000000001</v>
      </c>
      <c r="Y228" s="1">
        <v>120.1</v>
      </c>
      <c r="Z228" s="1">
        <v>134</v>
      </c>
      <c r="AA228" s="1">
        <v>148</v>
      </c>
      <c r="AB228" s="1">
        <v>132.6</v>
      </c>
      <c r="AC228" s="1">
        <v>133.30000000000001</v>
      </c>
      <c r="AD228" s="1">
        <v>141.5</v>
      </c>
    </row>
    <row r="229" spans="1:30" ht="12.5" x14ac:dyDescent="0.25">
      <c r="A229" s="1" t="s">
        <v>34</v>
      </c>
      <c r="B229" s="1">
        <v>2019</v>
      </c>
      <c r="C229" s="1" t="s">
        <v>38</v>
      </c>
      <c r="D229" s="1">
        <v>138.30000000000001</v>
      </c>
      <c r="E229" s="1">
        <v>158.5</v>
      </c>
      <c r="F229" s="1">
        <v>136</v>
      </c>
      <c r="G229" s="1">
        <v>142.5</v>
      </c>
      <c r="H229" s="1">
        <v>122</v>
      </c>
      <c r="I229" s="1">
        <v>146.5</v>
      </c>
      <c r="J229" s="1">
        <v>143</v>
      </c>
      <c r="K229" s="1">
        <v>124.9</v>
      </c>
      <c r="L229" s="1">
        <v>109.9</v>
      </c>
      <c r="M229" s="1">
        <v>139.9</v>
      </c>
      <c r="N229" s="1">
        <v>134</v>
      </c>
      <c r="O229" s="1">
        <v>155.5</v>
      </c>
      <c r="P229" s="1">
        <v>140.9</v>
      </c>
      <c r="Q229" s="1">
        <v>164.1</v>
      </c>
      <c r="R229" s="1">
        <v>148.4</v>
      </c>
      <c r="S229" s="1">
        <v>140.4</v>
      </c>
      <c r="T229" s="1">
        <v>147.30000000000001</v>
      </c>
      <c r="U229" s="1">
        <v>150.1</v>
      </c>
      <c r="V229" s="1">
        <v>140.30000000000001</v>
      </c>
      <c r="W229" s="1">
        <v>143.69999999999999</v>
      </c>
      <c r="X229" s="1">
        <v>146.9</v>
      </c>
      <c r="Y229" s="1">
        <v>124.9</v>
      </c>
      <c r="Z229" s="1">
        <v>139.19999999999999</v>
      </c>
      <c r="AA229" s="1">
        <v>151.6</v>
      </c>
      <c r="AB229" s="1">
        <v>133.4</v>
      </c>
      <c r="AC229" s="1">
        <v>138.19999999999999</v>
      </c>
      <c r="AD229" s="1">
        <v>142</v>
      </c>
    </row>
    <row r="230" spans="1:30" ht="12.5" x14ac:dyDescent="0.25">
      <c r="A230" s="1" t="s">
        <v>30</v>
      </c>
      <c r="B230" s="1">
        <v>2019</v>
      </c>
      <c r="C230" s="1" t="s">
        <v>39</v>
      </c>
      <c r="D230" s="1">
        <v>137.80000000000001</v>
      </c>
      <c r="E230" s="1">
        <v>163.5</v>
      </c>
      <c r="F230" s="1">
        <v>136.19999999999999</v>
      </c>
      <c r="G230" s="1">
        <v>143.19999999999999</v>
      </c>
      <c r="H230" s="1">
        <v>124.3</v>
      </c>
      <c r="I230" s="1">
        <v>143.30000000000001</v>
      </c>
      <c r="J230" s="1">
        <v>140.6</v>
      </c>
      <c r="K230" s="1">
        <v>128.69999999999999</v>
      </c>
      <c r="L230" s="1">
        <v>110.6</v>
      </c>
      <c r="M230" s="1">
        <v>140.4</v>
      </c>
      <c r="N230" s="1">
        <v>138</v>
      </c>
      <c r="O230" s="1">
        <v>156.6</v>
      </c>
      <c r="P230" s="1">
        <v>141</v>
      </c>
      <c r="Q230" s="1">
        <v>164.2</v>
      </c>
      <c r="R230" s="1">
        <v>151.4</v>
      </c>
      <c r="S230" s="1">
        <v>146.5</v>
      </c>
      <c r="T230" s="1">
        <v>150.69999999999999</v>
      </c>
      <c r="U230" s="1" t="s">
        <v>32</v>
      </c>
      <c r="V230" s="1">
        <v>147.80000000000001</v>
      </c>
      <c r="W230" s="1">
        <v>149.6</v>
      </c>
      <c r="X230" s="1">
        <v>151.69999999999999</v>
      </c>
      <c r="Y230" s="1">
        <v>130.19999999999999</v>
      </c>
      <c r="Z230" s="1">
        <v>146.4</v>
      </c>
      <c r="AA230" s="1">
        <v>157.69999999999999</v>
      </c>
      <c r="AB230" s="1">
        <v>134.80000000000001</v>
      </c>
      <c r="AC230" s="1">
        <v>143.30000000000001</v>
      </c>
      <c r="AD230" s="1">
        <v>143.6</v>
      </c>
    </row>
    <row r="231" spans="1:30" ht="12.5" x14ac:dyDescent="0.25">
      <c r="A231" s="1" t="s">
        <v>33</v>
      </c>
      <c r="B231" s="1">
        <v>2019</v>
      </c>
      <c r="C231" s="1" t="s">
        <v>39</v>
      </c>
      <c r="D231" s="1">
        <v>140.69999999999999</v>
      </c>
      <c r="E231" s="1">
        <v>159.6</v>
      </c>
      <c r="F231" s="1">
        <v>140.4</v>
      </c>
      <c r="G231" s="1">
        <v>143.4</v>
      </c>
      <c r="H231" s="1">
        <v>118.6</v>
      </c>
      <c r="I231" s="1">
        <v>150.9</v>
      </c>
      <c r="J231" s="1">
        <v>169.8</v>
      </c>
      <c r="K231" s="1">
        <v>127.4</v>
      </c>
      <c r="L231" s="1">
        <v>111.8</v>
      </c>
      <c r="M231" s="1">
        <v>141</v>
      </c>
      <c r="N231" s="1">
        <v>129</v>
      </c>
      <c r="O231" s="1">
        <v>155.1</v>
      </c>
      <c r="P231" s="1">
        <v>145.6</v>
      </c>
      <c r="Q231" s="1">
        <v>166.7</v>
      </c>
      <c r="R231" s="1">
        <v>144.30000000000001</v>
      </c>
      <c r="S231" s="1">
        <v>131.69999999999999</v>
      </c>
      <c r="T231" s="1">
        <v>142.4</v>
      </c>
      <c r="U231" s="1">
        <v>149.4</v>
      </c>
      <c r="V231" s="1">
        <v>130.5</v>
      </c>
      <c r="W231" s="1">
        <v>137.4</v>
      </c>
      <c r="X231" s="1">
        <v>140.30000000000001</v>
      </c>
      <c r="Y231" s="1">
        <v>119.6</v>
      </c>
      <c r="Z231" s="1">
        <v>134.30000000000001</v>
      </c>
      <c r="AA231" s="1">
        <v>148.9</v>
      </c>
      <c r="AB231" s="1">
        <v>133.69999999999999</v>
      </c>
      <c r="AC231" s="1">
        <v>133.6</v>
      </c>
      <c r="AD231" s="1">
        <v>142.1</v>
      </c>
    </row>
    <row r="232" spans="1:30" ht="12.5" x14ac:dyDescent="0.25">
      <c r="A232" s="1" t="s">
        <v>34</v>
      </c>
      <c r="B232" s="1">
        <v>2019</v>
      </c>
      <c r="C232" s="1" t="s">
        <v>39</v>
      </c>
      <c r="D232" s="1">
        <v>138.69999999999999</v>
      </c>
      <c r="E232" s="1">
        <v>162.1</v>
      </c>
      <c r="F232" s="1">
        <v>137.80000000000001</v>
      </c>
      <c r="G232" s="1">
        <v>143.30000000000001</v>
      </c>
      <c r="H232" s="1">
        <v>122.2</v>
      </c>
      <c r="I232" s="1">
        <v>146.80000000000001</v>
      </c>
      <c r="J232" s="1">
        <v>150.5</v>
      </c>
      <c r="K232" s="1">
        <v>128.30000000000001</v>
      </c>
      <c r="L232" s="1">
        <v>111</v>
      </c>
      <c r="M232" s="1">
        <v>140.6</v>
      </c>
      <c r="N232" s="1">
        <v>134.19999999999999</v>
      </c>
      <c r="O232" s="1">
        <v>155.9</v>
      </c>
      <c r="P232" s="1">
        <v>142.69999999999999</v>
      </c>
      <c r="Q232" s="1">
        <v>164.9</v>
      </c>
      <c r="R232" s="1">
        <v>148.6</v>
      </c>
      <c r="S232" s="1">
        <v>140.4</v>
      </c>
      <c r="T232" s="1">
        <v>147.4</v>
      </c>
      <c r="U232" s="1">
        <v>149.4</v>
      </c>
      <c r="V232" s="1">
        <v>141.19999999999999</v>
      </c>
      <c r="W232" s="1">
        <v>143.80000000000001</v>
      </c>
      <c r="X232" s="1">
        <v>147.4</v>
      </c>
      <c r="Y232" s="1">
        <v>124.6</v>
      </c>
      <c r="Z232" s="1">
        <v>139.6</v>
      </c>
      <c r="AA232" s="1">
        <v>152.5</v>
      </c>
      <c r="AB232" s="1">
        <v>134.30000000000001</v>
      </c>
      <c r="AC232" s="1">
        <v>138.6</v>
      </c>
      <c r="AD232" s="1">
        <v>142.9</v>
      </c>
    </row>
    <row r="233" spans="1:30" ht="12.5" x14ac:dyDescent="0.25">
      <c r="A233" s="1" t="s">
        <v>30</v>
      </c>
      <c r="B233" s="1">
        <v>2019</v>
      </c>
      <c r="C233" s="1" t="s">
        <v>40</v>
      </c>
      <c r="D233" s="1">
        <v>138.4</v>
      </c>
      <c r="E233" s="1">
        <v>164</v>
      </c>
      <c r="F233" s="1">
        <v>138.4</v>
      </c>
      <c r="G233" s="1">
        <v>143.9</v>
      </c>
      <c r="H233" s="1">
        <v>124.4</v>
      </c>
      <c r="I233" s="1">
        <v>146.4</v>
      </c>
      <c r="J233" s="1">
        <v>150.1</v>
      </c>
      <c r="K233" s="1">
        <v>130.6</v>
      </c>
      <c r="L233" s="1">
        <v>110.8</v>
      </c>
      <c r="M233" s="1">
        <v>141.69999999999999</v>
      </c>
      <c r="N233" s="1">
        <v>138.5</v>
      </c>
      <c r="O233" s="1">
        <v>156.69999999999999</v>
      </c>
      <c r="P233" s="1">
        <v>143</v>
      </c>
      <c r="Q233" s="1">
        <v>164.5</v>
      </c>
      <c r="R233" s="1">
        <v>151.6</v>
      </c>
      <c r="S233" s="1">
        <v>146.6</v>
      </c>
      <c r="T233" s="1">
        <v>150.9</v>
      </c>
      <c r="U233" s="1" t="s">
        <v>32</v>
      </c>
      <c r="V233" s="1">
        <v>146.80000000000001</v>
      </c>
      <c r="W233" s="1">
        <v>150</v>
      </c>
      <c r="X233" s="1">
        <v>152.19999999999999</v>
      </c>
      <c r="Y233" s="1">
        <v>131.19999999999999</v>
      </c>
      <c r="Z233" s="1">
        <v>147.5</v>
      </c>
      <c r="AA233" s="1">
        <v>159.1</v>
      </c>
      <c r="AB233" s="1">
        <v>136.1</v>
      </c>
      <c r="AC233" s="1">
        <v>144.19999999999999</v>
      </c>
      <c r="AD233" s="1">
        <v>144.9</v>
      </c>
    </row>
    <row r="234" spans="1:30" ht="12.5" x14ac:dyDescent="0.25">
      <c r="A234" s="1" t="s">
        <v>33</v>
      </c>
      <c r="B234" s="1">
        <v>2019</v>
      </c>
      <c r="C234" s="1" t="s">
        <v>40</v>
      </c>
      <c r="D234" s="1">
        <v>141.4</v>
      </c>
      <c r="E234" s="1">
        <v>160.19999999999999</v>
      </c>
      <c r="F234" s="1">
        <v>142.5</v>
      </c>
      <c r="G234" s="1">
        <v>144.1</v>
      </c>
      <c r="H234" s="1">
        <v>119.3</v>
      </c>
      <c r="I234" s="1">
        <v>154.69999999999999</v>
      </c>
      <c r="J234" s="1">
        <v>180.1</v>
      </c>
      <c r="K234" s="1">
        <v>128.9</v>
      </c>
      <c r="L234" s="1">
        <v>111.8</v>
      </c>
      <c r="M234" s="1">
        <v>141.6</v>
      </c>
      <c r="N234" s="1">
        <v>129.5</v>
      </c>
      <c r="O234" s="1">
        <v>155.6</v>
      </c>
      <c r="P234" s="1">
        <v>147.69999999999999</v>
      </c>
      <c r="Q234" s="1">
        <v>167.2</v>
      </c>
      <c r="R234" s="1">
        <v>144.69999999999999</v>
      </c>
      <c r="S234" s="1">
        <v>131.9</v>
      </c>
      <c r="T234" s="1">
        <v>142.69999999999999</v>
      </c>
      <c r="U234" s="1">
        <v>150.6</v>
      </c>
      <c r="V234" s="1">
        <v>127</v>
      </c>
      <c r="W234" s="1">
        <v>137.69999999999999</v>
      </c>
      <c r="X234" s="1">
        <v>140.80000000000001</v>
      </c>
      <c r="Y234" s="1">
        <v>120.6</v>
      </c>
      <c r="Z234" s="1">
        <v>135</v>
      </c>
      <c r="AA234" s="1">
        <v>150.4</v>
      </c>
      <c r="AB234" s="1">
        <v>135.1</v>
      </c>
      <c r="AC234" s="1">
        <v>134.5</v>
      </c>
      <c r="AD234" s="1">
        <v>143.30000000000001</v>
      </c>
    </row>
    <row r="235" spans="1:30" ht="12.5" x14ac:dyDescent="0.25">
      <c r="A235" s="1" t="s">
        <v>34</v>
      </c>
      <c r="B235" s="1">
        <v>2019</v>
      </c>
      <c r="C235" s="1" t="s">
        <v>40</v>
      </c>
      <c r="D235" s="1">
        <v>139.30000000000001</v>
      </c>
      <c r="E235" s="1">
        <v>162.69999999999999</v>
      </c>
      <c r="F235" s="1">
        <v>140</v>
      </c>
      <c r="G235" s="1">
        <v>144</v>
      </c>
      <c r="H235" s="1">
        <v>122.5</v>
      </c>
      <c r="I235" s="1">
        <v>150.30000000000001</v>
      </c>
      <c r="J235" s="1">
        <v>160.30000000000001</v>
      </c>
      <c r="K235" s="1">
        <v>130</v>
      </c>
      <c r="L235" s="1">
        <v>111.1</v>
      </c>
      <c r="M235" s="1">
        <v>141.69999999999999</v>
      </c>
      <c r="N235" s="1">
        <v>134.69999999999999</v>
      </c>
      <c r="O235" s="1">
        <v>156.19999999999999</v>
      </c>
      <c r="P235" s="1">
        <v>144.69999999999999</v>
      </c>
      <c r="Q235" s="1">
        <v>165.2</v>
      </c>
      <c r="R235" s="1">
        <v>148.9</v>
      </c>
      <c r="S235" s="1">
        <v>140.5</v>
      </c>
      <c r="T235" s="1">
        <v>147.6</v>
      </c>
      <c r="U235" s="1">
        <v>150.6</v>
      </c>
      <c r="V235" s="1">
        <v>139.30000000000001</v>
      </c>
      <c r="W235" s="1">
        <v>144.19999999999999</v>
      </c>
      <c r="X235" s="1">
        <v>147.9</v>
      </c>
      <c r="Y235" s="1">
        <v>125.6</v>
      </c>
      <c r="Z235" s="1">
        <v>140.5</v>
      </c>
      <c r="AA235" s="1">
        <v>154</v>
      </c>
      <c r="AB235" s="1">
        <v>135.69999999999999</v>
      </c>
      <c r="AC235" s="1">
        <v>139.5</v>
      </c>
      <c r="AD235" s="1">
        <v>144.19999999999999</v>
      </c>
    </row>
    <row r="236" spans="1:30" ht="12.5" x14ac:dyDescent="0.25">
      <c r="A236" s="1" t="s">
        <v>30</v>
      </c>
      <c r="B236" s="1">
        <v>2019</v>
      </c>
      <c r="C236" s="1" t="s">
        <v>41</v>
      </c>
      <c r="D236" s="1">
        <v>139.19999999999999</v>
      </c>
      <c r="E236" s="1">
        <v>161.9</v>
      </c>
      <c r="F236" s="1">
        <v>137.1</v>
      </c>
      <c r="G236" s="1">
        <v>144.6</v>
      </c>
      <c r="H236" s="1">
        <v>124.7</v>
      </c>
      <c r="I236" s="1">
        <v>145.5</v>
      </c>
      <c r="J236" s="1">
        <v>156.19999999999999</v>
      </c>
      <c r="K236" s="1">
        <v>131.5</v>
      </c>
      <c r="L236" s="1">
        <v>111.7</v>
      </c>
      <c r="M236" s="1">
        <v>142.69999999999999</v>
      </c>
      <c r="N236" s="1">
        <v>138.5</v>
      </c>
      <c r="O236" s="1">
        <v>156.9</v>
      </c>
      <c r="P236" s="1">
        <v>144</v>
      </c>
      <c r="Q236" s="1">
        <v>165.1</v>
      </c>
      <c r="R236" s="1">
        <v>151.80000000000001</v>
      </c>
      <c r="S236" s="1">
        <v>146.6</v>
      </c>
      <c r="T236" s="1">
        <v>151.1</v>
      </c>
      <c r="U236" s="1" t="s">
        <v>32</v>
      </c>
      <c r="V236" s="1">
        <v>146.4</v>
      </c>
      <c r="W236" s="1">
        <v>150.19999999999999</v>
      </c>
      <c r="X236" s="1">
        <v>152.69999999999999</v>
      </c>
      <c r="Y236" s="1">
        <v>131.4</v>
      </c>
      <c r="Z236" s="1">
        <v>148</v>
      </c>
      <c r="AA236" s="1">
        <v>159.69999999999999</v>
      </c>
      <c r="AB236" s="1">
        <v>138.80000000000001</v>
      </c>
      <c r="AC236" s="1">
        <v>144.9</v>
      </c>
      <c r="AD236" s="1">
        <v>145.69999999999999</v>
      </c>
    </row>
    <row r="237" spans="1:30" ht="12.5" x14ac:dyDescent="0.25">
      <c r="A237" s="1" t="s">
        <v>33</v>
      </c>
      <c r="B237" s="1">
        <v>2019</v>
      </c>
      <c r="C237" s="1" t="s">
        <v>41</v>
      </c>
      <c r="D237" s="1">
        <v>142.1</v>
      </c>
      <c r="E237" s="1">
        <v>158.30000000000001</v>
      </c>
      <c r="F237" s="1">
        <v>140.80000000000001</v>
      </c>
      <c r="G237" s="1">
        <v>144.9</v>
      </c>
      <c r="H237" s="1">
        <v>119.9</v>
      </c>
      <c r="I237" s="1">
        <v>153.9</v>
      </c>
      <c r="J237" s="1">
        <v>189.1</v>
      </c>
      <c r="K237" s="1">
        <v>129.80000000000001</v>
      </c>
      <c r="L237" s="1">
        <v>112.7</v>
      </c>
      <c r="M237" s="1">
        <v>142.5</v>
      </c>
      <c r="N237" s="1">
        <v>129.80000000000001</v>
      </c>
      <c r="O237" s="1">
        <v>156.19999999999999</v>
      </c>
      <c r="P237" s="1">
        <v>149.1</v>
      </c>
      <c r="Q237" s="1">
        <v>167.9</v>
      </c>
      <c r="R237" s="1">
        <v>145</v>
      </c>
      <c r="S237" s="1">
        <v>132.19999999999999</v>
      </c>
      <c r="T237" s="1">
        <v>143</v>
      </c>
      <c r="U237" s="1">
        <v>151.6</v>
      </c>
      <c r="V237" s="1">
        <v>125.5</v>
      </c>
      <c r="W237" s="1">
        <v>138.1</v>
      </c>
      <c r="X237" s="1">
        <v>141.5</v>
      </c>
      <c r="Y237" s="1">
        <v>120.8</v>
      </c>
      <c r="Z237" s="1">
        <v>135.4</v>
      </c>
      <c r="AA237" s="1">
        <v>151.5</v>
      </c>
      <c r="AB237" s="1">
        <v>137.80000000000001</v>
      </c>
      <c r="AC237" s="1">
        <v>135.30000000000001</v>
      </c>
      <c r="AD237" s="1">
        <v>144.19999999999999</v>
      </c>
    </row>
    <row r="238" spans="1:30" ht="12.5" x14ac:dyDescent="0.25">
      <c r="A238" s="1" t="s">
        <v>34</v>
      </c>
      <c r="B238" s="1">
        <v>2019</v>
      </c>
      <c r="C238" s="1" t="s">
        <v>41</v>
      </c>
      <c r="D238" s="1">
        <v>140.1</v>
      </c>
      <c r="E238" s="1">
        <v>160.6</v>
      </c>
      <c r="F238" s="1">
        <v>138.5</v>
      </c>
      <c r="G238" s="1">
        <v>144.69999999999999</v>
      </c>
      <c r="H238" s="1">
        <v>122.9</v>
      </c>
      <c r="I238" s="1">
        <v>149.4</v>
      </c>
      <c r="J238" s="1">
        <v>167.4</v>
      </c>
      <c r="K238" s="1">
        <v>130.9</v>
      </c>
      <c r="L238" s="1">
        <v>112</v>
      </c>
      <c r="M238" s="1">
        <v>142.6</v>
      </c>
      <c r="N238" s="1">
        <v>134.9</v>
      </c>
      <c r="O238" s="1">
        <v>156.6</v>
      </c>
      <c r="P238" s="1">
        <v>145.9</v>
      </c>
      <c r="Q238" s="1">
        <v>165.8</v>
      </c>
      <c r="R238" s="1">
        <v>149.1</v>
      </c>
      <c r="S238" s="1">
        <v>140.6</v>
      </c>
      <c r="T238" s="1">
        <v>147.9</v>
      </c>
      <c r="U238" s="1">
        <v>151.6</v>
      </c>
      <c r="V238" s="1">
        <v>138.5</v>
      </c>
      <c r="W238" s="1">
        <v>144.5</v>
      </c>
      <c r="X238" s="1">
        <v>148.5</v>
      </c>
      <c r="Y238" s="1">
        <v>125.8</v>
      </c>
      <c r="Z238" s="1">
        <v>140.9</v>
      </c>
      <c r="AA238" s="1">
        <v>154.9</v>
      </c>
      <c r="AB238" s="1">
        <v>138.4</v>
      </c>
      <c r="AC238" s="1">
        <v>140.19999999999999</v>
      </c>
      <c r="AD238" s="1">
        <v>145</v>
      </c>
    </row>
    <row r="239" spans="1:30" ht="12.5" x14ac:dyDescent="0.25">
      <c r="A239" s="1" t="s">
        <v>30</v>
      </c>
      <c r="B239" s="1">
        <v>2019</v>
      </c>
      <c r="C239" s="1" t="s">
        <v>42</v>
      </c>
      <c r="D239" s="1">
        <v>140.1</v>
      </c>
      <c r="E239" s="1">
        <v>161.9</v>
      </c>
      <c r="F239" s="1">
        <v>138.30000000000001</v>
      </c>
      <c r="G239" s="1">
        <v>145.69999999999999</v>
      </c>
      <c r="H239" s="1">
        <v>125.1</v>
      </c>
      <c r="I239" s="1">
        <v>143.80000000000001</v>
      </c>
      <c r="J239" s="1">
        <v>163.4</v>
      </c>
      <c r="K239" s="1">
        <v>132.19999999999999</v>
      </c>
      <c r="L239" s="1">
        <v>112.8</v>
      </c>
      <c r="M239" s="1">
        <v>144.19999999999999</v>
      </c>
      <c r="N239" s="1">
        <v>138.5</v>
      </c>
      <c r="O239" s="1">
        <v>157.19999999999999</v>
      </c>
      <c r="P239" s="1">
        <v>145.5</v>
      </c>
      <c r="Q239" s="1">
        <v>165.7</v>
      </c>
      <c r="R239" s="1">
        <v>151.69999999999999</v>
      </c>
      <c r="S239" s="1">
        <v>146.6</v>
      </c>
      <c r="T239" s="1">
        <v>151</v>
      </c>
      <c r="U239" s="1" t="s">
        <v>32</v>
      </c>
      <c r="V239" s="1">
        <v>146.9</v>
      </c>
      <c r="W239" s="1">
        <v>150.30000000000001</v>
      </c>
      <c r="X239" s="1">
        <v>153.4</v>
      </c>
      <c r="Y239" s="1">
        <v>131.6</v>
      </c>
      <c r="Z239" s="1">
        <v>148.30000000000001</v>
      </c>
      <c r="AA239" s="1">
        <v>160.19999999999999</v>
      </c>
      <c r="AB239" s="1">
        <v>140.19999999999999</v>
      </c>
      <c r="AC239" s="1">
        <v>145.4</v>
      </c>
      <c r="AD239" s="1">
        <v>146.69999999999999</v>
      </c>
    </row>
    <row r="240" spans="1:30" ht="12.5" x14ac:dyDescent="0.25">
      <c r="A240" s="1" t="s">
        <v>33</v>
      </c>
      <c r="B240" s="1">
        <v>2019</v>
      </c>
      <c r="C240" s="1" t="s">
        <v>42</v>
      </c>
      <c r="D240" s="1">
        <v>142.69999999999999</v>
      </c>
      <c r="E240" s="1">
        <v>158.69999999999999</v>
      </c>
      <c r="F240" s="1">
        <v>141.6</v>
      </c>
      <c r="G240" s="1">
        <v>144.9</v>
      </c>
      <c r="H240" s="1">
        <v>120.8</v>
      </c>
      <c r="I240" s="1">
        <v>149.80000000000001</v>
      </c>
      <c r="J240" s="1">
        <v>192.4</v>
      </c>
      <c r="K240" s="1">
        <v>130.30000000000001</v>
      </c>
      <c r="L240" s="1">
        <v>114</v>
      </c>
      <c r="M240" s="1">
        <v>143.80000000000001</v>
      </c>
      <c r="N240" s="1">
        <v>130</v>
      </c>
      <c r="O240" s="1">
        <v>156.4</v>
      </c>
      <c r="P240" s="1">
        <v>149.5</v>
      </c>
      <c r="Q240" s="1">
        <v>168.6</v>
      </c>
      <c r="R240" s="1">
        <v>145.30000000000001</v>
      </c>
      <c r="S240" s="1">
        <v>132.19999999999999</v>
      </c>
      <c r="T240" s="1">
        <v>143.30000000000001</v>
      </c>
      <c r="U240" s="1">
        <v>152.19999999999999</v>
      </c>
      <c r="V240" s="1">
        <v>126.6</v>
      </c>
      <c r="W240" s="1">
        <v>138.30000000000001</v>
      </c>
      <c r="X240" s="1">
        <v>141.9</v>
      </c>
      <c r="Y240" s="1">
        <v>121.2</v>
      </c>
      <c r="Z240" s="1">
        <v>135.9</v>
      </c>
      <c r="AA240" s="1">
        <v>151.6</v>
      </c>
      <c r="AB240" s="1">
        <v>139</v>
      </c>
      <c r="AC240" s="1">
        <v>135.69999999999999</v>
      </c>
      <c r="AD240" s="1">
        <v>144.69999999999999</v>
      </c>
    </row>
    <row r="241" spans="1:30" ht="12.5" x14ac:dyDescent="0.25">
      <c r="A241" s="1" t="s">
        <v>34</v>
      </c>
      <c r="B241" s="1">
        <v>2019</v>
      </c>
      <c r="C241" s="1" t="s">
        <v>42</v>
      </c>
      <c r="D241" s="1">
        <v>140.9</v>
      </c>
      <c r="E241" s="1">
        <v>160.80000000000001</v>
      </c>
      <c r="F241" s="1">
        <v>139.6</v>
      </c>
      <c r="G241" s="1">
        <v>145.4</v>
      </c>
      <c r="H241" s="1">
        <v>123.5</v>
      </c>
      <c r="I241" s="1">
        <v>146.6</v>
      </c>
      <c r="J241" s="1">
        <v>173.2</v>
      </c>
      <c r="K241" s="1">
        <v>131.6</v>
      </c>
      <c r="L241" s="1">
        <v>113.2</v>
      </c>
      <c r="M241" s="1">
        <v>144.1</v>
      </c>
      <c r="N241" s="1">
        <v>135</v>
      </c>
      <c r="O241" s="1">
        <v>156.80000000000001</v>
      </c>
      <c r="P241" s="1">
        <v>147</v>
      </c>
      <c r="Q241" s="1">
        <v>166.5</v>
      </c>
      <c r="R241" s="1">
        <v>149.19999999999999</v>
      </c>
      <c r="S241" s="1">
        <v>140.6</v>
      </c>
      <c r="T241" s="1">
        <v>147.9</v>
      </c>
      <c r="U241" s="1">
        <v>152.19999999999999</v>
      </c>
      <c r="V241" s="1">
        <v>139.19999999999999</v>
      </c>
      <c r="W241" s="1">
        <v>144.6</v>
      </c>
      <c r="X241" s="1">
        <v>149</v>
      </c>
      <c r="Y241" s="1">
        <v>126.1</v>
      </c>
      <c r="Z241" s="1">
        <v>141.30000000000001</v>
      </c>
      <c r="AA241" s="1">
        <v>155.19999999999999</v>
      </c>
      <c r="AB241" s="1">
        <v>139.69999999999999</v>
      </c>
      <c r="AC241" s="1">
        <v>140.69999999999999</v>
      </c>
      <c r="AD241" s="1">
        <v>145.80000000000001</v>
      </c>
    </row>
    <row r="242" spans="1:30" ht="12.5" x14ac:dyDescent="0.25">
      <c r="A242" s="1" t="s">
        <v>30</v>
      </c>
      <c r="B242" s="1">
        <v>2019</v>
      </c>
      <c r="C242" s="1" t="s">
        <v>43</v>
      </c>
      <c r="D242" s="1">
        <v>141</v>
      </c>
      <c r="E242" s="1">
        <v>161.6</v>
      </c>
      <c r="F242" s="1">
        <v>141.19999999999999</v>
      </c>
      <c r="G242" s="1">
        <v>146.5</v>
      </c>
      <c r="H242" s="1">
        <v>125.6</v>
      </c>
      <c r="I242" s="1">
        <v>145.69999999999999</v>
      </c>
      <c r="J242" s="1">
        <v>178.8</v>
      </c>
      <c r="K242" s="1">
        <v>133.1</v>
      </c>
      <c r="L242" s="1">
        <v>113.6</v>
      </c>
      <c r="M242" s="1">
        <v>145.5</v>
      </c>
      <c r="N242" s="1">
        <v>138.6</v>
      </c>
      <c r="O242" s="1">
        <v>157.4</v>
      </c>
      <c r="P242" s="1">
        <v>148.30000000000001</v>
      </c>
      <c r="Q242" s="1">
        <v>166.3</v>
      </c>
      <c r="R242" s="1">
        <v>151.69999999999999</v>
      </c>
      <c r="S242" s="1">
        <v>146.69999999999999</v>
      </c>
      <c r="T242" s="1">
        <v>151</v>
      </c>
      <c r="U242" s="1" t="s">
        <v>32</v>
      </c>
      <c r="V242" s="1">
        <v>147.69999999999999</v>
      </c>
      <c r="W242" s="1">
        <v>150.6</v>
      </c>
      <c r="X242" s="1">
        <v>153.69999999999999</v>
      </c>
      <c r="Y242" s="1">
        <v>131.69999999999999</v>
      </c>
      <c r="Z242" s="1">
        <v>148.69999999999999</v>
      </c>
      <c r="AA242" s="1">
        <v>160.69999999999999</v>
      </c>
      <c r="AB242" s="1">
        <v>140.30000000000001</v>
      </c>
      <c r="AC242" s="1">
        <v>145.69999999999999</v>
      </c>
      <c r="AD242" s="1">
        <v>148.30000000000001</v>
      </c>
    </row>
    <row r="243" spans="1:30" ht="12.5" x14ac:dyDescent="0.25">
      <c r="A243" s="1" t="s">
        <v>33</v>
      </c>
      <c r="B243" s="1">
        <v>2019</v>
      </c>
      <c r="C243" s="1" t="s">
        <v>43</v>
      </c>
      <c r="D243" s="1">
        <v>143.5</v>
      </c>
      <c r="E243" s="1">
        <v>159.80000000000001</v>
      </c>
      <c r="F243" s="1">
        <v>144.69999999999999</v>
      </c>
      <c r="G243" s="1">
        <v>145.6</v>
      </c>
      <c r="H243" s="1">
        <v>121.1</v>
      </c>
      <c r="I243" s="1">
        <v>150.6</v>
      </c>
      <c r="J243" s="1">
        <v>207.2</v>
      </c>
      <c r="K243" s="1">
        <v>131.19999999999999</v>
      </c>
      <c r="L243" s="1">
        <v>114.8</v>
      </c>
      <c r="M243" s="1">
        <v>145.19999999999999</v>
      </c>
      <c r="N243" s="1">
        <v>130.19999999999999</v>
      </c>
      <c r="O243" s="1">
        <v>156.80000000000001</v>
      </c>
      <c r="P243" s="1">
        <v>151.9</v>
      </c>
      <c r="Q243" s="1">
        <v>169.3</v>
      </c>
      <c r="R243" s="1">
        <v>145.9</v>
      </c>
      <c r="S243" s="1">
        <v>132.4</v>
      </c>
      <c r="T243" s="1">
        <v>143.9</v>
      </c>
      <c r="U243" s="1">
        <v>153</v>
      </c>
      <c r="V243" s="1">
        <v>128.9</v>
      </c>
      <c r="W243" s="1">
        <v>138.69999999999999</v>
      </c>
      <c r="X243" s="1">
        <v>142.4</v>
      </c>
      <c r="Y243" s="1">
        <v>121.5</v>
      </c>
      <c r="Z243" s="1">
        <v>136.19999999999999</v>
      </c>
      <c r="AA243" s="1">
        <v>151.69999999999999</v>
      </c>
      <c r="AB243" s="1">
        <v>139.5</v>
      </c>
      <c r="AC243" s="1">
        <v>136</v>
      </c>
      <c r="AD243" s="1">
        <v>146</v>
      </c>
    </row>
    <row r="244" spans="1:30" ht="12.5" x14ac:dyDescent="0.25">
      <c r="A244" s="1" t="s">
        <v>34</v>
      </c>
      <c r="B244" s="1">
        <v>2019</v>
      </c>
      <c r="C244" s="1" t="s">
        <v>43</v>
      </c>
      <c r="D244" s="1">
        <v>141.80000000000001</v>
      </c>
      <c r="E244" s="1">
        <v>161</v>
      </c>
      <c r="F244" s="1">
        <v>142.6</v>
      </c>
      <c r="G244" s="1">
        <v>146.19999999999999</v>
      </c>
      <c r="H244" s="1">
        <v>123.9</v>
      </c>
      <c r="I244" s="1">
        <v>148</v>
      </c>
      <c r="J244" s="1">
        <v>188.4</v>
      </c>
      <c r="K244" s="1">
        <v>132.5</v>
      </c>
      <c r="L244" s="1">
        <v>114</v>
      </c>
      <c r="M244" s="1">
        <v>145.4</v>
      </c>
      <c r="N244" s="1">
        <v>135.1</v>
      </c>
      <c r="O244" s="1">
        <v>157.1</v>
      </c>
      <c r="P244" s="1">
        <v>149.6</v>
      </c>
      <c r="Q244" s="1">
        <v>167.1</v>
      </c>
      <c r="R244" s="1">
        <v>149.4</v>
      </c>
      <c r="S244" s="1">
        <v>140.80000000000001</v>
      </c>
      <c r="T244" s="1">
        <v>148.19999999999999</v>
      </c>
      <c r="U244" s="1">
        <v>153</v>
      </c>
      <c r="V244" s="1">
        <v>140.6</v>
      </c>
      <c r="W244" s="1">
        <v>145</v>
      </c>
      <c r="X244" s="1">
        <v>149.4</v>
      </c>
      <c r="Y244" s="1">
        <v>126.3</v>
      </c>
      <c r="Z244" s="1">
        <v>141.69999999999999</v>
      </c>
      <c r="AA244" s="1">
        <v>155.4</v>
      </c>
      <c r="AB244" s="1">
        <v>140</v>
      </c>
      <c r="AC244" s="1">
        <v>141</v>
      </c>
      <c r="AD244" s="1">
        <v>147.19999999999999</v>
      </c>
    </row>
    <row r="245" spans="1:30" ht="12.5" x14ac:dyDescent="0.25">
      <c r="A245" s="1" t="s">
        <v>30</v>
      </c>
      <c r="B245" s="1">
        <v>2019</v>
      </c>
      <c r="C245" s="1" t="s">
        <v>44</v>
      </c>
      <c r="D245" s="1">
        <v>141.80000000000001</v>
      </c>
      <c r="E245" s="1">
        <v>163.69999999999999</v>
      </c>
      <c r="F245" s="1">
        <v>143.80000000000001</v>
      </c>
      <c r="G245" s="1">
        <v>147.1</v>
      </c>
      <c r="H245" s="1">
        <v>126</v>
      </c>
      <c r="I245" s="1">
        <v>146.19999999999999</v>
      </c>
      <c r="J245" s="1">
        <v>191.4</v>
      </c>
      <c r="K245" s="1">
        <v>136.19999999999999</v>
      </c>
      <c r="L245" s="1">
        <v>113.8</v>
      </c>
      <c r="M245" s="1">
        <v>147.30000000000001</v>
      </c>
      <c r="N245" s="1">
        <v>138.69999999999999</v>
      </c>
      <c r="O245" s="1">
        <v>157.69999999999999</v>
      </c>
      <c r="P245" s="1">
        <v>150.9</v>
      </c>
      <c r="Q245" s="1">
        <v>167.2</v>
      </c>
      <c r="R245" s="1">
        <v>152.30000000000001</v>
      </c>
      <c r="S245" s="1">
        <v>147</v>
      </c>
      <c r="T245" s="1">
        <v>151.5</v>
      </c>
      <c r="U245" s="1" t="s">
        <v>32</v>
      </c>
      <c r="V245" s="1">
        <v>148.4</v>
      </c>
      <c r="W245" s="1">
        <v>150.9</v>
      </c>
      <c r="X245" s="1">
        <v>154.30000000000001</v>
      </c>
      <c r="Y245" s="1">
        <v>132.1</v>
      </c>
      <c r="Z245" s="1">
        <v>149.1</v>
      </c>
      <c r="AA245" s="1">
        <v>160.80000000000001</v>
      </c>
      <c r="AB245" s="1">
        <v>140.6</v>
      </c>
      <c r="AC245" s="1">
        <v>146.1</v>
      </c>
      <c r="AD245" s="1">
        <v>149.9</v>
      </c>
    </row>
    <row r="246" spans="1:30" ht="12.5" x14ac:dyDescent="0.25">
      <c r="A246" s="1" t="s">
        <v>33</v>
      </c>
      <c r="B246" s="1">
        <v>2019</v>
      </c>
      <c r="C246" s="1" t="s">
        <v>44</v>
      </c>
      <c r="D246" s="1">
        <v>144.1</v>
      </c>
      <c r="E246" s="1">
        <v>162.4</v>
      </c>
      <c r="F246" s="1">
        <v>148.4</v>
      </c>
      <c r="G246" s="1">
        <v>145.9</v>
      </c>
      <c r="H246" s="1">
        <v>121.5</v>
      </c>
      <c r="I246" s="1">
        <v>148.80000000000001</v>
      </c>
      <c r="J246" s="1">
        <v>215.7</v>
      </c>
      <c r="K246" s="1">
        <v>134.6</v>
      </c>
      <c r="L246" s="1">
        <v>115</v>
      </c>
      <c r="M246" s="1">
        <v>146.30000000000001</v>
      </c>
      <c r="N246" s="1">
        <v>130.5</v>
      </c>
      <c r="O246" s="1">
        <v>157.19999999999999</v>
      </c>
      <c r="P246" s="1">
        <v>153.6</v>
      </c>
      <c r="Q246" s="1">
        <v>169.9</v>
      </c>
      <c r="R246" s="1">
        <v>146.30000000000001</v>
      </c>
      <c r="S246" s="1">
        <v>132.6</v>
      </c>
      <c r="T246" s="1">
        <v>144.19999999999999</v>
      </c>
      <c r="U246" s="1">
        <v>153.5</v>
      </c>
      <c r="V246" s="1">
        <v>132.19999999999999</v>
      </c>
      <c r="W246" s="1">
        <v>139.1</v>
      </c>
      <c r="X246" s="1">
        <v>142.80000000000001</v>
      </c>
      <c r="Y246" s="1">
        <v>121.7</v>
      </c>
      <c r="Z246" s="1">
        <v>136.69999999999999</v>
      </c>
      <c r="AA246" s="1">
        <v>151.80000000000001</v>
      </c>
      <c r="AB246" s="1">
        <v>139.80000000000001</v>
      </c>
      <c r="AC246" s="1">
        <v>136.30000000000001</v>
      </c>
      <c r="AD246" s="1">
        <v>147</v>
      </c>
    </row>
    <row r="247" spans="1:30" ht="12.5" x14ac:dyDescent="0.25">
      <c r="A247" s="1" t="s">
        <v>34</v>
      </c>
      <c r="B247" s="1">
        <v>2019</v>
      </c>
      <c r="C247" s="1" t="s">
        <v>44</v>
      </c>
      <c r="D247" s="1">
        <v>142.5</v>
      </c>
      <c r="E247" s="1">
        <v>163.19999999999999</v>
      </c>
      <c r="F247" s="1">
        <v>145.6</v>
      </c>
      <c r="G247" s="1">
        <v>146.69999999999999</v>
      </c>
      <c r="H247" s="1">
        <v>124.3</v>
      </c>
      <c r="I247" s="1">
        <v>147.4</v>
      </c>
      <c r="J247" s="1">
        <v>199.6</v>
      </c>
      <c r="K247" s="1">
        <v>135.69999999999999</v>
      </c>
      <c r="L247" s="1">
        <v>114.2</v>
      </c>
      <c r="M247" s="1">
        <v>147</v>
      </c>
      <c r="N247" s="1">
        <v>135.30000000000001</v>
      </c>
      <c r="O247" s="1">
        <v>157.5</v>
      </c>
      <c r="P247" s="1">
        <v>151.9</v>
      </c>
      <c r="Q247" s="1">
        <v>167.9</v>
      </c>
      <c r="R247" s="1">
        <v>149.9</v>
      </c>
      <c r="S247" s="1">
        <v>141</v>
      </c>
      <c r="T247" s="1">
        <v>148.6</v>
      </c>
      <c r="U247" s="1">
        <v>153.5</v>
      </c>
      <c r="V247" s="1">
        <v>142.30000000000001</v>
      </c>
      <c r="W247" s="1">
        <v>145.30000000000001</v>
      </c>
      <c r="X247" s="1">
        <v>149.9</v>
      </c>
      <c r="Y247" s="1">
        <v>126.6</v>
      </c>
      <c r="Z247" s="1">
        <v>142.1</v>
      </c>
      <c r="AA247" s="1">
        <v>155.5</v>
      </c>
      <c r="AB247" s="1">
        <v>140.30000000000001</v>
      </c>
      <c r="AC247" s="1">
        <v>141.30000000000001</v>
      </c>
      <c r="AD247" s="1">
        <v>148.6</v>
      </c>
    </row>
    <row r="248" spans="1:30" ht="12.5" x14ac:dyDescent="0.25">
      <c r="A248" s="1" t="s">
        <v>30</v>
      </c>
      <c r="B248" s="1">
        <v>2019</v>
      </c>
      <c r="C248" s="1" t="s">
        <v>45</v>
      </c>
      <c r="D248" s="1">
        <v>142.80000000000001</v>
      </c>
      <c r="E248" s="1">
        <v>165.3</v>
      </c>
      <c r="F248" s="1">
        <v>149.5</v>
      </c>
      <c r="G248" s="1">
        <v>148.69999999999999</v>
      </c>
      <c r="H248" s="1">
        <v>127.5</v>
      </c>
      <c r="I248" s="1">
        <v>144.30000000000001</v>
      </c>
      <c r="J248" s="1">
        <v>209.5</v>
      </c>
      <c r="K248" s="1">
        <v>138.80000000000001</v>
      </c>
      <c r="L248" s="1">
        <v>113.6</v>
      </c>
      <c r="M248" s="1">
        <v>149.1</v>
      </c>
      <c r="N248" s="1">
        <v>139.30000000000001</v>
      </c>
      <c r="O248" s="1">
        <v>158.30000000000001</v>
      </c>
      <c r="P248" s="1">
        <v>154.30000000000001</v>
      </c>
      <c r="Q248" s="1">
        <v>167.8</v>
      </c>
      <c r="R248" s="1">
        <v>152.6</v>
      </c>
      <c r="S248" s="1">
        <v>147.30000000000001</v>
      </c>
      <c r="T248" s="1">
        <v>151.9</v>
      </c>
      <c r="U248" s="1" t="s">
        <v>32</v>
      </c>
      <c r="V248" s="1">
        <v>149.9</v>
      </c>
      <c r="W248" s="1">
        <v>151.19999999999999</v>
      </c>
      <c r="X248" s="1">
        <v>154.80000000000001</v>
      </c>
      <c r="Y248" s="1">
        <v>135</v>
      </c>
      <c r="Z248" s="1">
        <v>149.5</v>
      </c>
      <c r="AA248" s="1">
        <v>161.1</v>
      </c>
      <c r="AB248" s="1">
        <v>140.6</v>
      </c>
      <c r="AC248" s="1">
        <v>147.1</v>
      </c>
      <c r="AD248" s="1">
        <v>152.30000000000001</v>
      </c>
    </row>
    <row r="249" spans="1:30" ht="12.5" x14ac:dyDescent="0.25">
      <c r="A249" s="1" t="s">
        <v>33</v>
      </c>
      <c r="B249" s="1">
        <v>2019</v>
      </c>
      <c r="C249" s="1" t="s">
        <v>45</v>
      </c>
      <c r="D249" s="1">
        <v>144.9</v>
      </c>
      <c r="E249" s="1">
        <v>164.5</v>
      </c>
      <c r="F249" s="1">
        <v>153.69999999999999</v>
      </c>
      <c r="G249" s="1">
        <v>147.5</v>
      </c>
      <c r="H249" s="1">
        <v>122.7</v>
      </c>
      <c r="I249" s="1">
        <v>147.19999999999999</v>
      </c>
      <c r="J249" s="1">
        <v>231.5</v>
      </c>
      <c r="K249" s="1">
        <v>137.19999999999999</v>
      </c>
      <c r="L249" s="1">
        <v>114.7</v>
      </c>
      <c r="M249" s="1">
        <v>148</v>
      </c>
      <c r="N249" s="1">
        <v>130.80000000000001</v>
      </c>
      <c r="O249" s="1">
        <v>157.69999999999999</v>
      </c>
      <c r="P249" s="1">
        <v>156.30000000000001</v>
      </c>
      <c r="Q249" s="1">
        <v>170.4</v>
      </c>
      <c r="R249" s="1">
        <v>146.80000000000001</v>
      </c>
      <c r="S249" s="1">
        <v>132.80000000000001</v>
      </c>
      <c r="T249" s="1">
        <v>144.6</v>
      </c>
      <c r="U249" s="1">
        <v>152.80000000000001</v>
      </c>
      <c r="V249" s="1">
        <v>133.6</v>
      </c>
      <c r="W249" s="1">
        <v>139.80000000000001</v>
      </c>
      <c r="X249" s="1">
        <v>143.19999999999999</v>
      </c>
      <c r="Y249" s="1">
        <v>125.2</v>
      </c>
      <c r="Z249" s="1">
        <v>136.80000000000001</v>
      </c>
      <c r="AA249" s="1">
        <v>151.9</v>
      </c>
      <c r="AB249" s="1">
        <v>140.19999999999999</v>
      </c>
      <c r="AC249" s="1">
        <v>137.69999999999999</v>
      </c>
      <c r="AD249" s="1">
        <v>148.30000000000001</v>
      </c>
    </row>
    <row r="250" spans="1:30" ht="12.5" x14ac:dyDescent="0.25">
      <c r="A250" s="1" t="s">
        <v>34</v>
      </c>
      <c r="B250" s="1">
        <v>2019</v>
      </c>
      <c r="C250" s="1" t="s">
        <v>45</v>
      </c>
      <c r="D250" s="1">
        <v>143.5</v>
      </c>
      <c r="E250" s="1">
        <v>165</v>
      </c>
      <c r="F250" s="1">
        <v>151.1</v>
      </c>
      <c r="G250" s="1">
        <v>148.30000000000001</v>
      </c>
      <c r="H250" s="1">
        <v>125.7</v>
      </c>
      <c r="I250" s="1">
        <v>145.69999999999999</v>
      </c>
      <c r="J250" s="1">
        <v>217</v>
      </c>
      <c r="K250" s="1">
        <v>138.30000000000001</v>
      </c>
      <c r="L250" s="1">
        <v>114</v>
      </c>
      <c r="M250" s="1">
        <v>148.69999999999999</v>
      </c>
      <c r="N250" s="1">
        <v>135.80000000000001</v>
      </c>
      <c r="O250" s="1">
        <v>158</v>
      </c>
      <c r="P250" s="1">
        <v>155</v>
      </c>
      <c r="Q250" s="1">
        <v>168.5</v>
      </c>
      <c r="R250" s="1">
        <v>150.30000000000001</v>
      </c>
      <c r="S250" s="1">
        <v>141.30000000000001</v>
      </c>
      <c r="T250" s="1">
        <v>149</v>
      </c>
      <c r="U250" s="1">
        <v>152.80000000000001</v>
      </c>
      <c r="V250" s="1">
        <v>143.69999999999999</v>
      </c>
      <c r="W250" s="1">
        <v>145.80000000000001</v>
      </c>
      <c r="X250" s="1">
        <v>150.4</v>
      </c>
      <c r="Y250" s="1">
        <v>129.80000000000001</v>
      </c>
      <c r="Z250" s="1">
        <v>142.30000000000001</v>
      </c>
      <c r="AA250" s="1">
        <v>155.69999999999999</v>
      </c>
      <c r="AB250" s="1">
        <v>140.4</v>
      </c>
      <c r="AC250" s="1">
        <v>142.5</v>
      </c>
      <c r="AD250" s="1">
        <v>150.4</v>
      </c>
    </row>
    <row r="251" spans="1:30" ht="12.5" x14ac:dyDescent="0.25">
      <c r="A251" s="1" t="s">
        <v>30</v>
      </c>
      <c r="B251" s="1">
        <v>2020</v>
      </c>
      <c r="C251" s="1" t="s">
        <v>31</v>
      </c>
      <c r="D251" s="1">
        <v>143.69999999999999</v>
      </c>
      <c r="E251" s="1">
        <v>167.3</v>
      </c>
      <c r="F251" s="1">
        <v>153.5</v>
      </c>
      <c r="G251" s="1">
        <v>150.5</v>
      </c>
      <c r="H251" s="1">
        <v>132</v>
      </c>
      <c r="I251" s="1">
        <v>142.19999999999999</v>
      </c>
      <c r="J251" s="1">
        <v>191.5</v>
      </c>
      <c r="K251" s="1">
        <v>141.1</v>
      </c>
      <c r="L251" s="1">
        <v>113.8</v>
      </c>
      <c r="M251" s="1">
        <v>151.6</v>
      </c>
      <c r="N251" s="1">
        <v>139.69999999999999</v>
      </c>
      <c r="O251" s="1">
        <v>158.69999999999999</v>
      </c>
      <c r="P251" s="1">
        <v>153</v>
      </c>
      <c r="Q251" s="1">
        <v>168.6</v>
      </c>
      <c r="R251" s="1">
        <v>152.80000000000001</v>
      </c>
      <c r="S251" s="1">
        <v>147.4</v>
      </c>
      <c r="T251" s="1">
        <v>152.1</v>
      </c>
      <c r="U251" s="1" t="s">
        <v>32</v>
      </c>
      <c r="V251" s="1">
        <v>150.4</v>
      </c>
      <c r="W251" s="1">
        <v>151.69999999999999</v>
      </c>
      <c r="X251" s="1">
        <v>155.69999999999999</v>
      </c>
      <c r="Y251" s="1">
        <v>136.30000000000001</v>
      </c>
      <c r="Z251" s="1">
        <v>150.1</v>
      </c>
      <c r="AA251" s="1">
        <v>161.69999999999999</v>
      </c>
      <c r="AB251" s="1">
        <v>142.5</v>
      </c>
      <c r="AC251" s="1">
        <v>148.1</v>
      </c>
      <c r="AD251" s="1">
        <v>151.9</v>
      </c>
    </row>
    <row r="252" spans="1:30" ht="12.5" x14ac:dyDescent="0.25">
      <c r="A252" s="1" t="s">
        <v>33</v>
      </c>
      <c r="B252" s="1">
        <v>2020</v>
      </c>
      <c r="C252" s="1" t="s">
        <v>31</v>
      </c>
      <c r="D252" s="1">
        <v>145.6</v>
      </c>
      <c r="E252" s="1">
        <v>167.6</v>
      </c>
      <c r="F252" s="1">
        <v>157</v>
      </c>
      <c r="G252" s="1">
        <v>149.30000000000001</v>
      </c>
      <c r="H252" s="1">
        <v>126.3</v>
      </c>
      <c r="I252" s="1">
        <v>144.4</v>
      </c>
      <c r="J252" s="1">
        <v>207.8</v>
      </c>
      <c r="K252" s="1">
        <v>139.1</v>
      </c>
      <c r="L252" s="1">
        <v>114.8</v>
      </c>
      <c r="M252" s="1">
        <v>149.5</v>
      </c>
      <c r="N252" s="1">
        <v>131.1</v>
      </c>
      <c r="O252" s="1">
        <v>158.5</v>
      </c>
      <c r="P252" s="1">
        <v>154.4</v>
      </c>
      <c r="Q252" s="1">
        <v>170.8</v>
      </c>
      <c r="R252" s="1">
        <v>147</v>
      </c>
      <c r="S252" s="1">
        <v>133.19999999999999</v>
      </c>
      <c r="T252" s="1">
        <v>144.9</v>
      </c>
      <c r="U252" s="1">
        <v>153.9</v>
      </c>
      <c r="V252" s="1">
        <v>135.1</v>
      </c>
      <c r="W252" s="1">
        <v>140.1</v>
      </c>
      <c r="X252" s="1">
        <v>143.80000000000001</v>
      </c>
      <c r="Y252" s="1">
        <v>126.1</v>
      </c>
      <c r="Z252" s="1">
        <v>137.19999999999999</v>
      </c>
      <c r="AA252" s="1">
        <v>152.1</v>
      </c>
      <c r="AB252" s="1">
        <v>142.1</v>
      </c>
      <c r="AC252" s="1">
        <v>138.4</v>
      </c>
      <c r="AD252" s="1">
        <v>148.19999999999999</v>
      </c>
    </row>
    <row r="253" spans="1:30" ht="12.5" x14ac:dyDescent="0.25">
      <c r="A253" s="1" t="s">
        <v>34</v>
      </c>
      <c r="B253" s="1">
        <v>2020</v>
      </c>
      <c r="C253" s="1" t="s">
        <v>31</v>
      </c>
      <c r="D253" s="1">
        <v>144.30000000000001</v>
      </c>
      <c r="E253" s="1">
        <v>167.4</v>
      </c>
      <c r="F253" s="1">
        <v>154.9</v>
      </c>
      <c r="G253" s="1">
        <v>150.1</v>
      </c>
      <c r="H253" s="1">
        <v>129.9</v>
      </c>
      <c r="I253" s="1">
        <v>143.19999999999999</v>
      </c>
      <c r="J253" s="1">
        <v>197</v>
      </c>
      <c r="K253" s="1">
        <v>140.4</v>
      </c>
      <c r="L253" s="1">
        <v>114.1</v>
      </c>
      <c r="M253" s="1">
        <v>150.9</v>
      </c>
      <c r="N253" s="1">
        <v>136.1</v>
      </c>
      <c r="O253" s="1">
        <v>158.6</v>
      </c>
      <c r="P253" s="1">
        <v>153.5</v>
      </c>
      <c r="Q253" s="1">
        <v>169.2</v>
      </c>
      <c r="R253" s="1">
        <v>150.5</v>
      </c>
      <c r="S253" s="1">
        <v>141.5</v>
      </c>
      <c r="T253" s="1">
        <v>149.19999999999999</v>
      </c>
      <c r="U253" s="1">
        <v>153.9</v>
      </c>
      <c r="V253" s="1">
        <v>144.6</v>
      </c>
      <c r="W253" s="1">
        <v>146.19999999999999</v>
      </c>
      <c r="X253" s="1">
        <v>151.19999999999999</v>
      </c>
      <c r="Y253" s="1">
        <v>130.9</v>
      </c>
      <c r="Z253" s="1">
        <v>142.80000000000001</v>
      </c>
      <c r="AA253" s="1">
        <v>156.1</v>
      </c>
      <c r="AB253" s="1">
        <v>142.30000000000001</v>
      </c>
      <c r="AC253" s="1">
        <v>143.4</v>
      </c>
      <c r="AD253" s="1">
        <v>150.19999999999999</v>
      </c>
    </row>
    <row r="254" spans="1:30" ht="12.5" x14ac:dyDescent="0.25">
      <c r="A254" s="1" t="s">
        <v>30</v>
      </c>
      <c r="B254" s="1">
        <v>2020</v>
      </c>
      <c r="C254" s="1" t="s">
        <v>35</v>
      </c>
      <c r="D254" s="1">
        <v>144.19999999999999</v>
      </c>
      <c r="E254" s="1">
        <v>167.5</v>
      </c>
      <c r="F254" s="1">
        <v>150.9</v>
      </c>
      <c r="G254" s="1">
        <v>150.9</v>
      </c>
      <c r="H254" s="1">
        <v>133.69999999999999</v>
      </c>
      <c r="I254" s="1">
        <v>140.69999999999999</v>
      </c>
      <c r="J254" s="1">
        <v>165.1</v>
      </c>
      <c r="K254" s="1">
        <v>141.80000000000001</v>
      </c>
      <c r="L254" s="1">
        <v>113.1</v>
      </c>
      <c r="M254" s="1">
        <v>152.80000000000001</v>
      </c>
      <c r="N254" s="1">
        <v>140.1</v>
      </c>
      <c r="O254" s="1">
        <v>159.19999999999999</v>
      </c>
      <c r="P254" s="1">
        <v>149.80000000000001</v>
      </c>
      <c r="Q254" s="1">
        <v>169.4</v>
      </c>
      <c r="R254" s="1">
        <v>153</v>
      </c>
      <c r="S254" s="1">
        <v>147.5</v>
      </c>
      <c r="T254" s="1">
        <v>152.30000000000001</v>
      </c>
      <c r="U254" s="1" t="s">
        <v>32</v>
      </c>
      <c r="V254" s="1">
        <v>152.30000000000001</v>
      </c>
      <c r="W254" s="1">
        <v>151.80000000000001</v>
      </c>
      <c r="X254" s="1">
        <v>156.19999999999999</v>
      </c>
      <c r="Y254" s="1">
        <v>136</v>
      </c>
      <c r="Z254" s="1">
        <v>150.4</v>
      </c>
      <c r="AA254" s="1">
        <v>161.9</v>
      </c>
      <c r="AB254" s="1">
        <v>143.4</v>
      </c>
      <c r="AC254" s="1">
        <v>148.4</v>
      </c>
      <c r="AD254" s="1">
        <v>150.4</v>
      </c>
    </row>
    <row r="255" spans="1:30" ht="12.5" x14ac:dyDescent="0.25">
      <c r="A255" s="1" t="s">
        <v>33</v>
      </c>
      <c r="B255" s="1">
        <v>2020</v>
      </c>
      <c r="C255" s="1" t="s">
        <v>35</v>
      </c>
      <c r="D255" s="1">
        <v>146.19999999999999</v>
      </c>
      <c r="E255" s="1">
        <v>167.6</v>
      </c>
      <c r="F255" s="1">
        <v>153.1</v>
      </c>
      <c r="G255" s="1">
        <v>150.69999999999999</v>
      </c>
      <c r="H255" s="1">
        <v>127.4</v>
      </c>
      <c r="I255" s="1">
        <v>143.1</v>
      </c>
      <c r="J255" s="1">
        <v>181.7</v>
      </c>
      <c r="K255" s="1">
        <v>139.6</v>
      </c>
      <c r="L255" s="1">
        <v>114.6</v>
      </c>
      <c r="M255" s="1">
        <v>150.4</v>
      </c>
      <c r="N255" s="1">
        <v>131.5</v>
      </c>
      <c r="O255" s="1">
        <v>159</v>
      </c>
      <c r="P255" s="1">
        <v>151.69999999999999</v>
      </c>
      <c r="Q255" s="1">
        <v>172</v>
      </c>
      <c r="R255" s="1">
        <v>147.30000000000001</v>
      </c>
      <c r="S255" s="1">
        <v>133.5</v>
      </c>
      <c r="T255" s="1">
        <v>145.19999999999999</v>
      </c>
      <c r="U255" s="1">
        <v>154.80000000000001</v>
      </c>
      <c r="V255" s="1">
        <v>138.9</v>
      </c>
      <c r="W255" s="1">
        <v>140.4</v>
      </c>
      <c r="X255" s="1">
        <v>144.4</v>
      </c>
      <c r="Y255" s="1">
        <v>125.2</v>
      </c>
      <c r="Z255" s="1">
        <v>137.69999999999999</v>
      </c>
      <c r="AA255" s="1">
        <v>152.19999999999999</v>
      </c>
      <c r="AB255" s="1">
        <v>143.5</v>
      </c>
      <c r="AC255" s="1">
        <v>138.4</v>
      </c>
      <c r="AD255" s="1">
        <v>147.69999999999999</v>
      </c>
    </row>
    <row r="256" spans="1:30" ht="12.5" x14ac:dyDescent="0.25">
      <c r="A256" s="1" t="s">
        <v>34</v>
      </c>
      <c r="B256" s="1">
        <v>2020</v>
      </c>
      <c r="C256" s="1" t="s">
        <v>35</v>
      </c>
      <c r="D256" s="1">
        <v>144.80000000000001</v>
      </c>
      <c r="E256" s="1">
        <v>167.5</v>
      </c>
      <c r="F256" s="1">
        <v>151.80000000000001</v>
      </c>
      <c r="G256" s="1">
        <v>150.80000000000001</v>
      </c>
      <c r="H256" s="1">
        <v>131.4</v>
      </c>
      <c r="I256" s="1">
        <v>141.80000000000001</v>
      </c>
      <c r="J256" s="1">
        <v>170.7</v>
      </c>
      <c r="K256" s="1">
        <v>141.1</v>
      </c>
      <c r="L256" s="1">
        <v>113.6</v>
      </c>
      <c r="M256" s="1">
        <v>152</v>
      </c>
      <c r="N256" s="1">
        <v>136.5</v>
      </c>
      <c r="O256" s="1">
        <v>159.1</v>
      </c>
      <c r="P256" s="1">
        <v>150.5</v>
      </c>
      <c r="Q256" s="1">
        <v>170.1</v>
      </c>
      <c r="R256" s="1">
        <v>150.80000000000001</v>
      </c>
      <c r="S256" s="1">
        <v>141.69999999999999</v>
      </c>
      <c r="T256" s="1">
        <v>149.5</v>
      </c>
      <c r="U256" s="1">
        <v>154.80000000000001</v>
      </c>
      <c r="V256" s="1">
        <v>147.19999999999999</v>
      </c>
      <c r="W256" s="1">
        <v>146.4</v>
      </c>
      <c r="X256" s="1">
        <v>151.69999999999999</v>
      </c>
      <c r="Y256" s="1">
        <v>130.30000000000001</v>
      </c>
      <c r="Z256" s="1">
        <v>143.19999999999999</v>
      </c>
      <c r="AA256" s="1">
        <v>156.19999999999999</v>
      </c>
      <c r="AB256" s="1">
        <v>143.4</v>
      </c>
      <c r="AC256" s="1">
        <v>143.6</v>
      </c>
      <c r="AD256" s="1">
        <v>149.1</v>
      </c>
    </row>
    <row r="257" spans="1:30" ht="12.5" x14ac:dyDescent="0.25">
      <c r="A257" s="1" t="s">
        <v>30</v>
      </c>
      <c r="B257" s="1">
        <v>2020</v>
      </c>
      <c r="C257" s="1" t="s">
        <v>36</v>
      </c>
      <c r="D257" s="1">
        <v>144.4</v>
      </c>
      <c r="E257" s="1">
        <v>166.8</v>
      </c>
      <c r="F257" s="1">
        <v>147.6</v>
      </c>
      <c r="G257" s="1">
        <v>151.69999999999999</v>
      </c>
      <c r="H257" s="1">
        <v>133.30000000000001</v>
      </c>
      <c r="I257" s="1">
        <v>141.80000000000001</v>
      </c>
      <c r="J257" s="1">
        <v>152.30000000000001</v>
      </c>
      <c r="K257" s="1">
        <v>141.80000000000001</v>
      </c>
      <c r="L257" s="1">
        <v>112.6</v>
      </c>
      <c r="M257" s="1">
        <v>154</v>
      </c>
      <c r="N257" s="1">
        <v>140.1</v>
      </c>
      <c r="O257" s="1">
        <v>160</v>
      </c>
      <c r="P257" s="1">
        <v>148.19999999999999</v>
      </c>
      <c r="Q257" s="1">
        <v>170.5</v>
      </c>
      <c r="R257" s="1">
        <v>153.4</v>
      </c>
      <c r="S257" s="1">
        <v>147.6</v>
      </c>
      <c r="T257" s="1">
        <v>152.5</v>
      </c>
      <c r="U257" s="1" t="s">
        <v>32</v>
      </c>
      <c r="V257" s="1">
        <v>153.4</v>
      </c>
      <c r="W257" s="1">
        <v>151.5</v>
      </c>
      <c r="X257" s="1">
        <v>156.69999999999999</v>
      </c>
      <c r="Y257" s="1">
        <v>135.80000000000001</v>
      </c>
      <c r="Z257" s="1">
        <v>151.19999999999999</v>
      </c>
      <c r="AA257" s="1">
        <v>161.19999999999999</v>
      </c>
      <c r="AB257" s="1">
        <v>145.1</v>
      </c>
      <c r="AC257" s="1">
        <v>148.6</v>
      </c>
      <c r="AD257" s="1">
        <v>149.80000000000001</v>
      </c>
    </row>
    <row r="258" spans="1:30" ht="12.5" x14ac:dyDescent="0.25">
      <c r="A258" s="1" t="s">
        <v>33</v>
      </c>
      <c r="B258" s="1">
        <v>2020</v>
      </c>
      <c r="C258" s="1" t="s">
        <v>36</v>
      </c>
      <c r="D258" s="1">
        <v>146.5</v>
      </c>
      <c r="E258" s="1">
        <v>167.5</v>
      </c>
      <c r="F258" s="1">
        <v>148.9</v>
      </c>
      <c r="G258" s="1">
        <v>151.1</v>
      </c>
      <c r="H258" s="1">
        <v>127.5</v>
      </c>
      <c r="I258" s="1">
        <v>143.30000000000001</v>
      </c>
      <c r="J258" s="1">
        <v>167</v>
      </c>
      <c r="K258" s="1">
        <v>139.69999999999999</v>
      </c>
      <c r="L258" s="1">
        <v>114.4</v>
      </c>
      <c r="M258" s="1">
        <v>151.5</v>
      </c>
      <c r="N258" s="1">
        <v>131.9</v>
      </c>
      <c r="O258" s="1">
        <v>159.1</v>
      </c>
      <c r="P258" s="1">
        <v>150.1</v>
      </c>
      <c r="Q258" s="1">
        <v>173.3</v>
      </c>
      <c r="R258" s="1">
        <v>147.69999999999999</v>
      </c>
      <c r="S258" s="1">
        <v>133.80000000000001</v>
      </c>
      <c r="T258" s="1">
        <v>145.6</v>
      </c>
      <c r="U258" s="1">
        <v>154.5</v>
      </c>
      <c r="V258" s="1">
        <v>141.4</v>
      </c>
      <c r="W258" s="1">
        <v>140.80000000000001</v>
      </c>
      <c r="X258" s="1">
        <v>145</v>
      </c>
      <c r="Y258" s="1">
        <v>124.6</v>
      </c>
      <c r="Z258" s="1">
        <v>137.9</v>
      </c>
      <c r="AA258" s="1">
        <v>152.5</v>
      </c>
      <c r="AB258" s="1">
        <v>145.30000000000001</v>
      </c>
      <c r="AC258" s="1">
        <v>138.69999999999999</v>
      </c>
      <c r="AD258" s="1">
        <v>147.30000000000001</v>
      </c>
    </row>
    <row r="259" spans="1:30" ht="12.5" x14ac:dyDescent="0.25">
      <c r="A259" s="1" t="s">
        <v>34</v>
      </c>
      <c r="B259" s="1">
        <v>2020</v>
      </c>
      <c r="C259" s="1" t="s">
        <v>36</v>
      </c>
      <c r="D259" s="1">
        <v>145.1</v>
      </c>
      <c r="E259" s="1">
        <v>167</v>
      </c>
      <c r="F259" s="1">
        <v>148.1</v>
      </c>
      <c r="G259" s="1">
        <v>151.5</v>
      </c>
      <c r="H259" s="1">
        <v>131.19999999999999</v>
      </c>
      <c r="I259" s="1">
        <v>142.5</v>
      </c>
      <c r="J259" s="1">
        <v>157.30000000000001</v>
      </c>
      <c r="K259" s="1">
        <v>141.1</v>
      </c>
      <c r="L259" s="1">
        <v>113.2</v>
      </c>
      <c r="M259" s="1">
        <v>153.19999999999999</v>
      </c>
      <c r="N259" s="1">
        <v>136.69999999999999</v>
      </c>
      <c r="O259" s="1">
        <v>159.6</v>
      </c>
      <c r="P259" s="1">
        <v>148.9</v>
      </c>
      <c r="Q259" s="1">
        <v>171.2</v>
      </c>
      <c r="R259" s="1">
        <v>151.19999999999999</v>
      </c>
      <c r="S259" s="1">
        <v>141.9</v>
      </c>
      <c r="T259" s="1">
        <v>149.80000000000001</v>
      </c>
      <c r="U259" s="1">
        <v>154.5</v>
      </c>
      <c r="V259" s="1">
        <v>148.9</v>
      </c>
      <c r="W259" s="1">
        <v>146.4</v>
      </c>
      <c r="X259" s="1">
        <v>152.30000000000001</v>
      </c>
      <c r="Y259" s="1">
        <v>129.9</v>
      </c>
      <c r="Z259" s="1">
        <v>143.69999999999999</v>
      </c>
      <c r="AA259" s="1">
        <v>156.1</v>
      </c>
      <c r="AB259" s="1">
        <v>145.19999999999999</v>
      </c>
      <c r="AC259" s="1">
        <v>143.80000000000001</v>
      </c>
      <c r="AD259" s="1">
        <v>148.6</v>
      </c>
    </row>
    <row r="260" spans="1:30" ht="12.5" x14ac:dyDescent="0.25">
      <c r="A260" s="1" t="s">
        <v>30</v>
      </c>
      <c r="B260" s="1">
        <v>2020</v>
      </c>
      <c r="C260" s="1" t="s">
        <v>37</v>
      </c>
      <c r="D260" s="1">
        <v>147.19999999999999</v>
      </c>
      <c r="E260" s="1" t="s">
        <v>32</v>
      </c>
      <c r="F260" s="1">
        <v>146.9</v>
      </c>
      <c r="G260" s="1">
        <v>155.6</v>
      </c>
      <c r="H260" s="1">
        <v>137.1</v>
      </c>
      <c r="I260" s="1">
        <v>147.30000000000001</v>
      </c>
      <c r="J260" s="1">
        <v>162.69999999999999</v>
      </c>
      <c r="K260" s="1">
        <v>150.19999999999999</v>
      </c>
      <c r="L260" s="1">
        <v>119.8</v>
      </c>
      <c r="M260" s="1">
        <v>158.69999999999999</v>
      </c>
      <c r="N260" s="1">
        <v>139.19999999999999</v>
      </c>
      <c r="O260" s="1" t="s">
        <v>32</v>
      </c>
      <c r="P260" s="1">
        <v>150.1</v>
      </c>
      <c r="Q260" s="1" t="s">
        <v>32</v>
      </c>
      <c r="R260" s="1" t="s">
        <v>32</v>
      </c>
      <c r="S260" s="1" t="s">
        <v>32</v>
      </c>
      <c r="T260" s="1" t="s">
        <v>32</v>
      </c>
      <c r="U260" s="1" t="s">
        <v>32</v>
      </c>
      <c r="V260" s="1">
        <v>148.4</v>
      </c>
      <c r="W260" s="1" t="s">
        <v>32</v>
      </c>
      <c r="X260" s="1">
        <v>154.30000000000001</v>
      </c>
      <c r="Y260" s="1" t="s">
        <v>32</v>
      </c>
      <c r="Z260" s="1" t="s">
        <v>32</v>
      </c>
      <c r="AA260" s="1" t="s">
        <v>32</v>
      </c>
      <c r="AB260" s="1" t="s">
        <v>32</v>
      </c>
      <c r="AC260" s="1" t="s">
        <v>32</v>
      </c>
      <c r="AD260" s="1" t="s">
        <v>32</v>
      </c>
    </row>
    <row r="261" spans="1:30" ht="12.5" x14ac:dyDescent="0.25">
      <c r="A261" s="1" t="s">
        <v>33</v>
      </c>
      <c r="B261" s="1">
        <v>2020</v>
      </c>
      <c r="C261" s="1" t="s">
        <v>37</v>
      </c>
      <c r="D261" s="1">
        <v>151.80000000000001</v>
      </c>
      <c r="E261" s="1" t="s">
        <v>32</v>
      </c>
      <c r="F261" s="1">
        <v>151.9</v>
      </c>
      <c r="G261" s="1">
        <v>155.5</v>
      </c>
      <c r="H261" s="1">
        <v>131.6</v>
      </c>
      <c r="I261" s="1">
        <v>152.9</v>
      </c>
      <c r="J261" s="1">
        <v>180</v>
      </c>
      <c r="K261" s="1">
        <v>150.80000000000001</v>
      </c>
      <c r="L261" s="1">
        <v>121.2</v>
      </c>
      <c r="M261" s="1">
        <v>154</v>
      </c>
      <c r="N261" s="1">
        <v>133.5</v>
      </c>
      <c r="O261" s="1" t="s">
        <v>32</v>
      </c>
      <c r="P261" s="1">
        <v>153.5</v>
      </c>
      <c r="Q261" s="1" t="s">
        <v>32</v>
      </c>
      <c r="R261" s="1" t="s">
        <v>32</v>
      </c>
      <c r="S261" s="1" t="s">
        <v>32</v>
      </c>
      <c r="T261" s="1" t="s">
        <v>32</v>
      </c>
      <c r="U261" s="1">
        <v>155.6</v>
      </c>
      <c r="V261" s="1">
        <v>137.1</v>
      </c>
      <c r="W261" s="1" t="s">
        <v>32</v>
      </c>
      <c r="X261" s="1">
        <v>144.80000000000001</v>
      </c>
      <c r="Y261" s="1" t="s">
        <v>32</v>
      </c>
      <c r="Z261" s="1" t="s">
        <v>32</v>
      </c>
      <c r="AA261" s="1" t="s">
        <v>32</v>
      </c>
      <c r="AB261" s="1" t="s">
        <v>32</v>
      </c>
      <c r="AC261" s="1" t="s">
        <v>32</v>
      </c>
      <c r="AD261" s="1" t="s">
        <v>32</v>
      </c>
    </row>
    <row r="262" spans="1:30" ht="12.5" x14ac:dyDescent="0.25">
      <c r="A262" s="1" t="s">
        <v>34</v>
      </c>
      <c r="B262" s="1">
        <v>2020</v>
      </c>
      <c r="C262" s="1" t="s">
        <v>37</v>
      </c>
      <c r="D262" s="1">
        <v>148.69999999999999</v>
      </c>
      <c r="E262" s="1" t="s">
        <v>32</v>
      </c>
      <c r="F262" s="1">
        <v>148.80000000000001</v>
      </c>
      <c r="G262" s="1">
        <v>155.6</v>
      </c>
      <c r="H262" s="1">
        <v>135.1</v>
      </c>
      <c r="I262" s="1">
        <v>149.9</v>
      </c>
      <c r="J262" s="1">
        <v>168.6</v>
      </c>
      <c r="K262" s="1">
        <v>150.4</v>
      </c>
      <c r="L262" s="1">
        <v>120.3</v>
      </c>
      <c r="M262" s="1">
        <v>157.1</v>
      </c>
      <c r="N262" s="1">
        <v>136.80000000000001</v>
      </c>
      <c r="O262" s="1" t="s">
        <v>32</v>
      </c>
      <c r="P262" s="1">
        <v>151.4</v>
      </c>
      <c r="Q262" s="1" t="s">
        <v>32</v>
      </c>
      <c r="R262" s="1" t="s">
        <v>32</v>
      </c>
      <c r="S262" s="1" t="s">
        <v>32</v>
      </c>
      <c r="T262" s="1" t="s">
        <v>32</v>
      </c>
      <c r="U262" s="1">
        <v>155.6</v>
      </c>
      <c r="V262" s="1">
        <v>144.1</v>
      </c>
      <c r="W262" s="1" t="s">
        <v>32</v>
      </c>
      <c r="X262" s="1">
        <v>150.69999999999999</v>
      </c>
      <c r="Y262" s="1" t="s">
        <v>32</v>
      </c>
      <c r="Z262" s="1" t="s">
        <v>32</v>
      </c>
      <c r="AA262" s="1" t="s">
        <v>32</v>
      </c>
      <c r="AB262" s="1" t="s">
        <v>32</v>
      </c>
      <c r="AC262" s="1" t="s">
        <v>32</v>
      </c>
      <c r="AD262" s="1" t="s">
        <v>32</v>
      </c>
    </row>
    <row r="263" spans="1:30" ht="12.5" x14ac:dyDescent="0.25">
      <c r="A263" s="1" t="s">
        <v>30</v>
      </c>
      <c r="B263" s="1">
        <v>2020</v>
      </c>
      <c r="C263" s="1" t="s">
        <v>38</v>
      </c>
      <c r="D263" s="1" t="s">
        <v>32</v>
      </c>
      <c r="E263" s="1" t="s">
        <v>32</v>
      </c>
      <c r="F263" s="1" t="s">
        <v>32</v>
      </c>
      <c r="G263" s="1" t="s">
        <v>32</v>
      </c>
      <c r="H263" s="1" t="s">
        <v>32</v>
      </c>
      <c r="I263" s="1" t="s">
        <v>32</v>
      </c>
      <c r="J263" s="1" t="s">
        <v>32</v>
      </c>
      <c r="K263" s="1" t="s">
        <v>32</v>
      </c>
      <c r="L263" s="1" t="s">
        <v>32</v>
      </c>
      <c r="M263" s="1" t="s">
        <v>32</v>
      </c>
      <c r="N263" s="1" t="s">
        <v>32</v>
      </c>
      <c r="O263" s="1" t="s">
        <v>32</v>
      </c>
      <c r="P263" s="1" t="s">
        <v>32</v>
      </c>
      <c r="Q263" s="1" t="s">
        <v>32</v>
      </c>
      <c r="R263" s="1" t="s">
        <v>32</v>
      </c>
      <c r="S263" s="1" t="s">
        <v>32</v>
      </c>
      <c r="T263" s="1" t="s">
        <v>32</v>
      </c>
      <c r="U263" s="1" t="s">
        <v>32</v>
      </c>
      <c r="V263" s="1" t="s">
        <v>32</v>
      </c>
      <c r="W263" s="1" t="s">
        <v>32</v>
      </c>
      <c r="X263" s="1" t="s">
        <v>32</v>
      </c>
      <c r="Y263" s="1" t="s">
        <v>32</v>
      </c>
      <c r="Z263" s="1" t="s">
        <v>32</v>
      </c>
      <c r="AA263" s="1" t="s">
        <v>32</v>
      </c>
      <c r="AB263" s="1" t="s">
        <v>32</v>
      </c>
      <c r="AC263" s="1" t="s">
        <v>32</v>
      </c>
      <c r="AD263" s="1" t="s">
        <v>32</v>
      </c>
    </row>
    <row r="264" spans="1:30" ht="12.5" x14ac:dyDescent="0.25">
      <c r="A264" s="1" t="s">
        <v>33</v>
      </c>
      <c r="B264" s="1">
        <v>2020</v>
      </c>
      <c r="C264" s="1" t="s">
        <v>38</v>
      </c>
      <c r="D264" s="1" t="s">
        <v>32</v>
      </c>
      <c r="E264" s="1" t="s">
        <v>32</v>
      </c>
      <c r="F264" s="1" t="s">
        <v>32</v>
      </c>
      <c r="G264" s="1" t="s">
        <v>32</v>
      </c>
      <c r="H264" s="1" t="s">
        <v>32</v>
      </c>
      <c r="I264" s="1" t="s">
        <v>32</v>
      </c>
      <c r="J264" s="1" t="s">
        <v>32</v>
      </c>
      <c r="K264" s="1" t="s">
        <v>32</v>
      </c>
      <c r="L264" s="1" t="s">
        <v>32</v>
      </c>
      <c r="M264" s="1" t="s">
        <v>32</v>
      </c>
      <c r="N264" s="1" t="s">
        <v>32</v>
      </c>
      <c r="O264" s="1" t="s">
        <v>32</v>
      </c>
      <c r="P264" s="1" t="s">
        <v>32</v>
      </c>
      <c r="Q264" s="1" t="s">
        <v>32</v>
      </c>
      <c r="R264" s="1" t="s">
        <v>32</v>
      </c>
      <c r="S264" s="1" t="s">
        <v>32</v>
      </c>
      <c r="T264" s="1" t="s">
        <v>32</v>
      </c>
      <c r="U264" s="1" t="s">
        <v>32</v>
      </c>
      <c r="V264" s="1" t="s">
        <v>32</v>
      </c>
      <c r="W264" s="1" t="s">
        <v>32</v>
      </c>
      <c r="X264" s="1" t="s">
        <v>32</v>
      </c>
      <c r="Y264" s="1" t="s">
        <v>32</v>
      </c>
      <c r="Z264" s="1" t="s">
        <v>32</v>
      </c>
      <c r="AA264" s="1" t="s">
        <v>32</v>
      </c>
      <c r="AB264" s="1" t="s">
        <v>32</v>
      </c>
      <c r="AC264" s="1" t="s">
        <v>32</v>
      </c>
      <c r="AD264" s="1" t="s">
        <v>32</v>
      </c>
    </row>
    <row r="265" spans="1:30" ht="12.5" x14ac:dyDescent="0.25">
      <c r="A265" s="1" t="s">
        <v>34</v>
      </c>
      <c r="B265" s="1">
        <v>2020</v>
      </c>
      <c r="C265" s="1" t="s">
        <v>38</v>
      </c>
      <c r="D265" s="1" t="s">
        <v>32</v>
      </c>
      <c r="E265" s="1" t="s">
        <v>32</v>
      </c>
      <c r="F265" s="1" t="s">
        <v>32</v>
      </c>
      <c r="G265" s="1" t="s">
        <v>32</v>
      </c>
      <c r="H265" s="1" t="s">
        <v>32</v>
      </c>
      <c r="I265" s="1" t="s">
        <v>32</v>
      </c>
      <c r="J265" s="1" t="s">
        <v>32</v>
      </c>
      <c r="K265" s="1" t="s">
        <v>32</v>
      </c>
      <c r="L265" s="1" t="s">
        <v>32</v>
      </c>
      <c r="M265" s="1" t="s">
        <v>32</v>
      </c>
      <c r="N265" s="1" t="s">
        <v>32</v>
      </c>
      <c r="O265" s="1" t="s">
        <v>32</v>
      </c>
      <c r="P265" s="1" t="s">
        <v>32</v>
      </c>
      <c r="Q265" s="1" t="s">
        <v>32</v>
      </c>
      <c r="R265" s="1" t="s">
        <v>32</v>
      </c>
      <c r="S265" s="1" t="s">
        <v>32</v>
      </c>
      <c r="T265" s="1" t="s">
        <v>32</v>
      </c>
      <c r="U265" s="1" t="s">
        <v>32</v>
      </c>
      <c r="V265" s="1" t="s">
        <v>32</v>
      </c>
      <c r="W265" s="1" t="s">
        <v>32</v>
      </c>
      <c r="X265" s="1" t="s">
        <v>32</v>
      </c>
      <c r="Y265" s="1" t="s">
        <v>32</v>
      </c>
      <c r="Z265" s="1" t="s">
        <v>32</v>
      </c>
      <c r="AA265" s="1" t="s">
        <v>32</v>
      </c>
      <c r="AB265" s="1" t="s">
        <v>32</v>
      </c>
      <c r="AC265" s="1" t="s">
        <v>32</v>
      </c>
      <c r="AD265" s="1" t="s">
        <v>32</v>
      </c>
    </row>
    <row r="266" spans="1:30" ht="12.5" x14ac:dyDescent="0.25">
      <c r="A266" s="1" t="s">
        <v>30</v>
      </c>
      <c r="B266" s="1">
        <v>2020</v>
      </c>
      <c r="C266" s="1" t="s">
        <v>39</v>
      </c>
      <c r="D266" s="1">
        <v>148.19999999999999</v>
      </c>
      <c r="E266" s="1">
        <v>190.3</v>
      </c>
      <c r="F266" s="1">
        <v>149.4</v>
      </c>
      <c r="G266" s="1">
        <v>153.30000000000001</v>
      </c>
      <c r="H266" s="1">
        <v>138.19999999999999</v>
      </c>
      <c r="I266" s="1">
        <v>143.19999999999999</v>
      </c>
      <c r="J266" s="1">
        <v>148.9</v>
      </c>
      <c r="K266" s="1">
        <v>150.30000000000001</v>
      </c>
      <c r="L266" s="1">
        <v>113.2</v>
      </c>
      <c r="M266" s="1">
        <v>159.80000000000001</v>
      </c>
      <c r="N266" s="1">
        <v>142.1</v>
      </c>
      <c r="O266" s="1">
        <v>161.80000000000001</v>
      </c>
      <c r="P266" s="1">
        <v>152.30000000000001</v>
      </c>
      <c r="Q266" s="1">
        <v>182.4</v>
      </c>
      <c r="R266" s="1">
        <v>154.69999999999999</v>
      </c>
      <c r="S266" s="1">
        <v>150</v>
      </c>
      <c r="T266" s="1">
        <v>154.1</v>
      </c>
      <c r="U266" s="1" t="s">
        <v>32</v>
      </c>
      <c r="V266" s="1">
        <v>144.9</v>
      </c>
      <c r="W266" s="1">
        <v>151.69999999999999</v>
      </c>
      <c r="X266" s="1">
        <v>158.19999999999999</v>
      </c>
      <c r="Y266" s="1">
        <v>141.4</v>
      </c>
      <c r="Z266" s="1">
        <v>153.19999999999999</v>
      </c>
      <c r="AA266" s="1">
        <v>161.80000000000001</v>
      </c>
      <c r="AB266" s="1">
        <v>151.19999999999999</v>
      </c>
      <c r="AC266" s="1">
        <v>151.69999999999999</v>
      </c>
      <c r="AD266" s="1">
        <v>152.69999999999999</v>
      </c>
    </row>
    <row r="267" spans="1:30" ht="12.5" x14ac:dyDescent="0.25">
      <c r="A267" s="1" t="s">
        <v>33</v>
      </c>
      <c r="B267" s="1">
        <v>2020</v>
      </c>
      <c r="C267" s="1" t="s">
        <v>39</v>
      </c>
      <c r="D267" s="1">
        <v>152.69999999999999</v>
      </c>
      <c r="E267" s="1">
        <v>197</v>
      </c>
      <c r="F267" s="1">
        <v>154.6</v>
      </c>
      <c r="G267" s="1">
        <v>153.4</v>
      </c>
      <c r="H267" s="1">
        <v>132.9</v>
      </c>
      <c r="I267" s="1">
        <v>151.80000000000001</v>
      </c>
      <c r="J267" s="1">
        <v>171.2</v>
      </c>
      <c r="K267" s="1">
        <v>152</v>
      </c>
      <c r="L267" s="1">
        <v>116.3</v>
      </c>
      <c r="M267" s="1">
        <v>158.80000000000001</v>
      </c>
      <c r="N267" s="1">
        <v>135.6</v>
      </c>
      <c r="O267" s="1">
        <v>161.69999999999999</v>
      </c>
      <c r="P267" s="1">
        <v>157</v>
      </c>
      <c r="Q267" s="1">
        <v>186.7</v>
      </c>
      <c r="R267" s="1">
        <v>149.1</v>
      </c>
      <c r="S267" s="1">
        <v>136.6</v>
      </c>
      <c r="T267" s="1">
        <v>147.19999999999999</v>
      </c>
      <c r="U267" s="1">
        <v>154.69999999999999</v>
      </c>
      <c r="V267" s="1">
        <v>137.1</v>
      </c>
      <c r="W267" s="1">
        <v>140.4</v>
      </c>
      <c r="X267" s="1">
        <v>148.1</v>
      </c>
      <c r="Y267" s="1">
        <v>129.30000000000001</v>
      </c>
      <c r="Z267" s="1">
        <v>144.5</v>
      </c>
      <c r="AA267" s="1">
        <v>152.5</v>
      </c>
      <c r="AB267" s="1">
        <v>152.19999999999999</v>
      </c>
      <c r="AC267" s="1">
        <v>142</v>
      </c>
      <c r="AD267" s="1">
        <v>150.80000000000001</v>
      </c>
    </row>
    <row r="268" spans="1:30" ht="12.5" x14ac:dyDescent="0.25">
      <c r="A268" s="1" t="s">
        <v>34</v>
      </c>
      <c r="B268" s="1">
        <v>2020</v>
      </c>
      <c r="C268" s="1" t="s">
        <v>39</v>
      </c>
      <c r="D268" s="1">
        <v>149.6</v>
      </c>
      <c r="E268" s="1">
        <v>192.7</v>
      </c>
      <c r="F268" s="1">
        <v>151.4</v>
      </c>
      <c r="G268" s="1">
        <v>153.30000000000001</v>
      </c>
      <c r="H268" s="1">
        <v>136.30000000000001</v>
      </c>
      <c r="I268" s="1">
        <v>147.19999999999999</v>
      </c>
      <c r="J268" s="1">
        <v>156.5</v>
      </c>
      <c r="K268" s="1">
        <v>150.9</v>
      </c>
      <c r="L268" s="1">
        <v>114.2</v>
      </c>
      <c r="M268" s="1">
        <v>159.5</v>
      </c>
      <c r="N268" s="1">
        <v>139.4</v>
      </c>
      <c r="O268" s="1">
        <v>161.80000000000001</v>
      </c>
      <c r="P268" s="1">
        <v>154</v>
      </c>
      <c r="Q268" s="1">
        <v>183.5</v>
      </c>
      <c r="R268" s="1">
        <v>152.5</v>
      </c>
      <c r="S268" s="1">
        <v>144.4</v>
      </c>
      <c r="T268" s="1">
        <v>151.4</v>
      </c>
      <c r="U268" s="1">
        <v>154.69999999999999</v>
      </c>
      <c r="V268" s="1">
        <v>141.9</v>
      </c>
      <c r="W268" s="1">
        <v>146.4</v>
      </c>
      <c r="X268" s="1">
        <v>154.4</v>
      </c>
      <c r="Y268" s="1">
        <v>135</v>
      </c>
      <c r="Z268" s="1">
        <v>148.30000000000001</v>
      </c>
      <c r="AA268" s="1">
        <v>156.4</v>
      </c>
      <c r="AB268" s="1">
        <v>151.6</v>
      </c>
      <c r="AC268" s="1">
        <v>147</v>
      </c>
      <c r="AD268" s="1">
        <v>151.80000000000001</v>
      </c>
    </row>
    <row r="269" spans="1:30" ht="12.5" x14ac:dyDescent="0.25">
      <c r="A269" s="1" t="s">
        <v>30</v>
      </c>
      <c r="B269" s="1">
        <v>2020</v>
      </c>
      <c r="C269" s="1" t="s">
        <v>40</v>
      </c>
      <c r="D269" s="1">
        <v>148.19999999999999</v>
      </c>
      <c r="E269" s="1">
        <v>190.3</v>
      </c>
      <c r="F269" s="1">
        <v>149.4</v>
      </c>
      <c r="G269" s="1">
        <v>153.30000000000001</v>
      </c>
      <c r="H269" s="1">
        <v>138.19999999999999</v>
      </c>
      <c r="I269" s="1">
        <v>143.19999999999999</v>
      </c>
      <c r="J269" s="1">
        <v>148.9</v>
      </c>
      <c r="K269" s="1">
        <v>150.30000000000001</v>
      </c>
      <c r="L269" s="1">
        <v>113.2</v>
      </c>
      <c r="M269" s="1">
        <v>159.80000000000001</v>
      </c>
      <c r="N269" s="1">
        <v>142.1</v>
      </c>
      <c r="O269" s="1">
        <v>161.80000000000001</v>
      </c>
      <c r="P269" s="1">
        <v>152.30000000000001</v>
      </c>
      <c r="Q269" s="1">
        <v>182.4</v>
      </c>
      <c r="R269" s="1">
        <v>154.69999999999999</v>
      </c>
      <c r="S269" s="1">
        <v>150</v>
      </c>
      <c r="T269" s="1">
        <v>154.1</v>
      </c>
      <c r="U269" s="1" t="s">
        <v>32</v>
      </c>
      <c r="V269" s="1">
        <v>144.9</v>
      </c>
      <c r="W269" s="1">
        <v>151.69999999999999</v>
      </c>
      <c r="X269" s="1">
        <v>158.19999999999999</v>
      </c>
      <c r="Y269" s="1">
        <v>141.4</v>
      </c>
      <c r="Z269" s="1">
        <v>153.19999999999999</v>
      </c>
      <c r="AA269" s="1">
        <v>161.80000000000001</v>
      </c>
      <c r="AB269" s="1">
        <v>151.19999999999999</v>
      </c>
      <c r="AC269" s="1">
        <v>151.69999999999999</v>
      </c>
      <c r="AD269" s="1">
        <v>152.69999999999999</v>
      </c>
    </row>
    <row r="270" spans="1:30" ht="12.5" x14ac:dyDescent="0.25">
      <c r="A270" s="1" t="s">
        <v>33</v>
      </c>
      <c r="B270" s="1">
        <v>2020</v>
      </c>
      <c r="C270" s="1" t="s">
        <v>40</v>
      </c>
      <c r="D270" s="1">
        <v>152.69999999999999</v>
      </c>
      <c r="E270" s="1">
        <v>197</v>
      </c>
      <c r="F270" s="1">
        <v>154.6</v>
      </c>
      <c r="G270" s="1">
        <v>153.4</v>
      </c>
      <c r="H270" s="1">
        <v>132.9</v>
      </c>
      <c r="I270" s="1">
        <v>151.80000000000001</v>
      </c>
      <c r="J270" s="1">
        <v>171.2</v>
      </c>
      <c r="K270" s="1">
        <v>152</v>
      </c>
      <c r="L270" s="1">
        <v>116.3</v>
      </c>
      <c r="M270" s="1">
        <v>158.80000000000001</v>
      </c>
      <c r="N270" s="1">
        <v>135.6</v>
      </c>
      <c r="O270" s="1">
        <v>161.69999999999999</v>
      </c>
      <c r="P270" s="1">
        <v>157</v>
      </c>
      <c r="Q270" s="1">
        <v>186.7</v>
      </c>
      <c r="R270" s="1">
        <v>149.1</v>
      </c>
      <c r="S270" s="1">
        <v>136.6</v>
      </c>
      <c r="T270" s="1">
        <v>147.19999999999999</v>
      </c>
      <c r="U270" s="1">
        <v>154.69999999999999</v>
      </c>
      <c r="V270" s="1">
        <v>137.1</v>
      </c>
      <c r="W270" s="1">
        <v>140.4</v>
      </c>
      <c r="X270" s="1">
        <v>148.1</v>
      </c>
      <c r="Y270" s="1">
        <v>129.30000000000001</v>
      </c>
      <c r="Z270" s="1">
        <v>144.5</v>
      </c>
      <c r="AA270" s="1">
        <v>152.5</v>
      </c>
      <c r="AB270" s="1">
        <v>152.19999999999999</v>
      </c>
      <c r="AC270" s="1">
        <v>142</v>
      </c>
      <c r="AD270" s="1">
        <v>150.80000000000001</v>
      </c>
    </row>
    <row r="271" spans="1:30" ht="12.5" x14ac:dyDescent="0.25">
      <c r="A271" s="1" t="s">
        <v>34</v>
      </c>
      <c r="B271" s="1">
        <v>2020</v>
      </c>
      <c r="C271" s="1" t="s">
        <v>40</v>
      </c>
      <c r="D271" s="1">
        <v>149.6</v>
      </c>
      <c r="E271" s="1">
        <v>192.7</v>
      </c>
      <c r="F271" s="1">
        <v>151.4</v>
      </c>
      <c r="G271" s="1">
        <v>153.30000000000001</v>
      </c>
      <c r="H271" s="1">
        <v>136.30000000000001</v>
      </c>
      <c r="I271" s="1">
        <v>147.19999999999999</v>
      </c>
      <c r="J271" s="1">
        <v>156.5</v>
      </c>
      <c r="K271" s="1">
        <v>150.9</v>
      </c>
      <c r="L271" s="1">
        <v>114.2</v>
      </c>
      <c r="M271" s="1">
        <v>159.5</v>
      </c>
      <c r="N271" s="1">
        <v>139.4</v>
      </c>
      <c r="O271" s="1">
        <v>161.80000000000001</v>
      </c>
      <c r="P271" s="1">
        <v>154</v>
      </c>
      <c r="Q271" s="1">
        <v>183.5</v>
      </c>
      <c r="R271" s="1">
        <v>152.5</v>
      </c>
      <c r="S271" s="1">
        <v>144.4</v>
      </c>
      <c r="T271" s="1">
        <v>151.4</v>
      </c>
      <c r="U271" s="1">
        <v>154.69999999999999</v>
      </c>
      <c r="V271" s="1">
        <v>141.9</v>
      </c>
      <c r="W271" s="1">
        <v>146.4</v>
      </c>
      <c r="X271" s="1">
        <v>154.4</v>
      </c>
      <c r="Y271" s="1">
        <v>135</v>
      </c>
      <c r="Z271" s="1">
        <v>148.30000000000001</v>
      </c>
      <c r="AA271" s="1">
        <v>156.4</v>
      </c>
      <c r="AB271" s="1">
        <v>151.6</v>
      </c>
      <c r="AC271" s="1">
        <v>147</v>
      </c>
      <c r="AD271" s="1">
        <v>151.80000000000001</v>
      </c>
    </row>
    <row r="272" spans="1:30" ht="12.5" x14ac:dyDescent="0.25">
      <c r="A272" s="1" t="s">
        <v>30</v>
      </c>
      <c r="B272" s="1">
        <v>2020</v>
      </c>
      <c r="C272" s="1" t="s">
        <v>41</v>
      </c>
      <c r="D272" s="1">
        <v>147.6</v>
      </c>
      <c r="E272" s="1">
        <v>187.2</v>
      </c>
      <c r="F272" s="1">
        <v>148.4</v>
      </c>
      <c r="G272" s="1">
        <v>153.30000000000001</v>
      </c>
      <c r="H272" s="1">
        <v>139.80000000000001</v>
      </c>
      <c r="I272" s="1">
        <v>146.9</v>
      </c>
      <c r="J272" s="1">
        <v>171</v>
      </c>
      <c r="K272" s="1">
        <v>149.9</v>
      </c>
      <c r="L272" s="1">
        <v>114.2</v>
      </c>
      <c r="M272" s="1">
        <v>160</v>
      </c>
      <c r="N272" s="1">
        <v>143.5</v>
      </c>
      <c r="O272" s="1">
        <v>161.5</v>
      </c>
      <c r="P272" s="1">
        <v>155.30000000000001</v>
      </c>
      <c r="Q272" s="1">
        <v>180.9</v>
      </c>
      <c r="R272" s="1">
        <v>155.1</v>
      </c>
      <c r="S272" s="1">
        <v>149.30000000000001</v>
      </c>
      <c r="T272" s="1">
        <v>154.30000000000001</v>
      </c>
      <c r="U272" s="1" t="s">
        <v>32</v>
      </c>
      <c r="V272" s="1">
        <v>145.80000000000001</v>
      </c>
      <c r="W272" s="1">
        <v>151.9</v>
      </c>
      <c r="X272" s="1">
        <v>158.80000000000001</v>
      </c>
      <c r="Y272" s="1">
        <v>143.6</v>
      </c>
      <c r="Z272" s="1">
        <v>152.19999999999999</v>
      </c>
      <c r="AA272" s="1">
        <v>162.69999999999999</v>
      </c>
      <c r="AB272" s="1">
        <v>153.6</v>
      </c>
      <c r="AC272" s="1">
        <v>153</v>
      </c>
      <c r="AD272" s="1">
        <v>154.69999999999999</v>
      </c>
    </row>
    <row r="273" spans="1:30" ht="12.5" x14ac:dyDescent="0.25">
      <c r="A273" s="1" t="s">
        <v>33</v>
      </c>
      <c r="B273" s="1">
        <v>2020</v>
      </c>
      <c r="C273" s="1" t="s">
        <v>41</v>
      </c>
      <c r="D273" s="1">
        <v>151.6</v>
      </c>
      <c r="E273" s="1">
        <v>197.8</v>
      </c>
      <c r="F273" s="1">
        <v>154.5</v>
      </c>
      <c r="G273" s="1">
        <v>153.4</v>
      </c>
      <c r="H273" s="1">
        <v>133.4</v>
      </c>
      <c r="I273" s="1">
        <v>154.5</v>
      </c>
      <c r="J273" s="1">
        <v>191.9</v>
      </c>
      <c r="K273" s="1">
        <v>151.30000000000001</v>
      </c>
      <c r="L273" s="1">
        <v>116.8</v>
      </c>
      <c r="M273" s="1">
        <v>160</v>
      </c>
      <c r="N273" s="1">
        <v>136.5</v>
      </c>
      <c r="O273" s="1">
        <v>163.30000000000001</v>
      </c>
      <c r="P273" s="1">
        <v>159.9</v>
      </c>
      <c r="Q273" s="1">
        <v>187.2</v>
      </c>
      <c r="R273" s="1">
        <v>150</v>
      </c>
      <c r="S273" s="1">
        <v>135.19999999999999</v>
      </c>
      <c r="T273" s="1">
        <v>147.80000000000001</v>
      </c>
      <c r="U273" s="1">
        <v>155.5</v>
      </c>
      <c r="V273" s="1">
        <v>138.30000000000001</v>
      </c>
      <c r="W273" s="1">
        <v>144.5</v>
      </c>
      <c r="X273" s="1">
        <v>148.69999999999999</v>
      </c>
      <c r="Y273" s="1">
        <v>133.9</v>
      </c>
      <c r="Z273" s="1">
        <v>141.19999999999999</v>
      </c>
      <c r="AA273" s="1">
        <v>155.5</v>
      </c>
      <c r="AB273" s="1">
        <v>155.19999999999999</v>
      </c>
      <c r="AC273" s="1">
        <v>144.80000000000001</v>
      </c>
      <c r="AD273" s="1">
        <v>152.9</v>
      </c>
    </row>
    <row r="274" spans="1:30" ht="12.5" x14ac:dyDescent="0.25">
      <c r="A274" s="1" t="s">
        <v>34</v>
      </c>
      <c r="B274" s="1">
        <v>2020</v>
      </c>
      <c r="C274" s="1" t="s">
        <v>41</v>
      </c>
      <c r="D274" s="1">
        <v>148.9</v>
      </c>
      <c r="E274" s="1">
        <v>190.9</v>
      </c>
      <c r="F274" s="1">
        <v>150.80000000000001</v>
      </c>
      <c r="G274" s="1">
        <v>153.30000000000001</v>
      </c>
      <c r="H274" s="1">
        <v>137.4</v>
      </c>
      <c r="I274" s="1">
        <v>150.4</v>
      </c>
      <c r="J274" s="1">
        <v>178.1</v>
      </c>
      <c r="K274" s="1">
        <v>150.4</v>
      </c>
      <c r="L274" s="1">
        <v>115.1</v>
      </c>
      <c r="M274" s="1">
        <v>160</v>
      </c>
      <c r="N274" s="1">
        <v>140.6</v>
      </c>
      <c r="O274" s="1">
        <v>162.30000000000001</v>
      </c>
      <c r="P274" s="1">
        <v>157</v>
      </c>
      <c r="Q274" s="1">
        <v>182.6</v>
      </c>
      <c r="R274" s="1">
        <v>153.1</v>
      </c>
      <c r="S274" s="1">
        <v>143.4</v>
      </c>
      <c r="T274" s="1">
        <v>151.69999999999999</v>
      </c>
      <c r="U274" s="1">
        <v>155.5</v>
      </c>
      <c r="V274" s="1">
        <v>143</v>
      </c>
      <c r="W274" s="1">
        <v>148.4</v>
      </c>
      <c r="X274" s="1">
        <v>155</v>
      </c>
      <c r="Y274" s="1">
        <v>138.5</v>
      </c>
      <c r="Z274" s="1">
        <v>146</v>
      </c>
      <c r="AA274" s="1">
        <v>158.5</v>
      </c>
      <c r="AB274" s="1">
        <v>154.30000000000001</v>
      </c>
      <c r="AC274" s="1">
        <v>149</v>
      </c>
      <c r="AD274" s="1">
        <v>153.9</v>
      </c>
    </row>
    <row r="275" spans="1:30" ht="12.5" x14ac:dyDescent="0.25">
      <c r="A275" s="1" t="s">
        <v>30</v>
      </c>
      <c r="B275" s="1">
        <v>2020</v>
      </c>
      <c r="C275" s="1" t="s">
        <v>42</v>
      </c>
      <c r="D275" s="1">
        <v>146.9</v>
      </c>
      <c r="E275" s="1">
        <v>183.9</v>
      </c>
      <c r="F275" s="1">
        <v>149.5</v>
      </c>
      <c r="G275" s="1">
        <v>153.4</v>
      </c>
      <c r="H275" s="1">
        <v>140.4</v>
      </c>
      <c r="I275" s="1">
        <v>147</v>
      </c>
      <c r="J275" s="1">
        <v>178.8</v>
      </c>
      <c r="K275" s="1">
        <v>149.30000000000001</v>
      </c>
      <c r="L275" s="1">
        <v>115.1</v>
      </c>
      <c r="M275" s="1">
        <v>160</v>
      </c>
      <c r="N275" s="1">
        <v>145.4</v>
      </c>
      <c r="O275" s="1">
        <v>161.6</v>
      </c>
      <c r="P275" s="1">
        <v>156.1</v>
      </c>
      <c r="Q275" s="1">
        <v>182.9</v>
      </c>
      <c r="R275" s="1">
        <v>155.4</v>
      </c>
      <c r="S275" s="1">
        <v>149.9</v>
      </c>
      <c r="T275" s="1">
        <v>154.6</v>
      </c>
      <c r="U275" s="1" t="s">
        <v>32</v>
      </c>
      <c r="V275" s="1">
        <v>146.4</v>
      </c>
      <c r="W275" s="1">
        <v>151.6</v>
      </c>
      <c r="X275" s="1">
        <v>159.1</v>
      </c>
      <c r="Y275" s="1">
        <v>144.6</v>
      </c>
      <c r="Z275" s="1">
        <v>152.80000000000001</v>
      </c>
      <c r="AA275" s="1">
        <v>161.1</v>
      </c>
      <c r="AB275" s="1">
        <v>157.4</v>
      </c>
      <c r="AC275" s="1">
        <v>153.69999999999999</v>
      </c>
      <c r="AD275" s="1">
        <v>155.4</v>
      </c>
    </row>
    <row r="276" spans="1:30" ht="12.5" x14ac:dyDescent="0.25">
      <c r="A276" s="1" t="s">
        <v>33</v>
      </c>
      <c r="B276" s="1">
        <v>2020</v>
      </c>
      <c r="C276" s="1" t="s">
        <v>42</v>
      </c>
      <c r="D276" s="1">
        <v>151.5</v>
      </c>
      <c r="E276" s="1">
        <v>193.1</v>
      </c>
      <c r="F276" s="1">
        <v>157.30000000000001</v>
      </c>
      <c r="G276" s="1">
        <v>153.9</v>
      </c>
      <c r="H276" s="1">
        <v>134.4</v>
      </c>
      <c r="I276" s="1">
        <v>155.4</v>
      </c>
      <c r="J276" s="1">
        <v>202</v>
      </c>
      <c r="K276" s="1">
        <v>150.80000000000001</v>
      </c>
      <c r="L276" s="1">
        <v>118.9</v>
      </c>
      <c r="M276" s="1">
        <v>160.9</v>
      </c>
      <c r="N276" s="1">
        <v>137.69999999999999</v>
      </c>
      <c r="O276" s="1">
        <v>164.4</v>
      </c>
      <c r="P276" s="1">
        <v>161.30000000000001</v>
      </c>
      <c r="Q276" s="1">
        <v>188.7</v>
      </c>
      <c r="R276" s="1">
        <v>150.19999999999999</v>
      </c>
      <c r="S276" s="1">
        <v>136.30000000000001</v>
      </c>
      <c r="T276" s="1">
        <v>148.1</v>
      </c>
      <c r="U276" s="1">
        <v>156.30000000000001</v>
      </c>
      <c r="V276" s="1">
        <v>137.19999999999999</v>
      </c>
      <c r="W276" s="1">
        <v>145.4</v>
      </c>
      <c r="X276" s="1">
        <v>150</v>
      </c>
      <c r="Y276" s="1">
        <v>135.1</v>
      </c>
      <c r="Z276" s="1">
        <v>141.80000000000001</v>
      </c>
      <c r="AA276" s="1">
        <v>154.9</v>
      </c>
      <c r="AB276" s="1">
        <v>159.80000000000001</v>
      </c>
      <c r="AC276" s="1">
        <v>146</v>
      </c>
      <c r="AD276" s="1">
        <v>154</v>
      </c>
    </row>
    <row r="277" spans="1:30" ht="12.5" x14ac:dyDescent="0.25">
      <c r="A277" s="1" t="s">
        <v>34</v>
      </c>
      <c r="B277" s="1">
        <v>2020</v>
      </c>
      <c r="C277" s="1" t="s">
        <v>42</v>
      </c>
      <c r="D277" s="1">
        <v>148.4</v>
      </c>
      <c r="E277" s="1">
        <v>187.1</v>
      </c>
      <c r="F277" s="1">
        <v>152.5</v>
      </c>
      <c r="G277" s="1">
        <v>153.6</v>
      </c>
      <c r="H277" s="1">
        <v>138.19999999999999</v>
      </c>
      <c r="I277" s="1">
        <v>150.9</v>
      </c>
      <c r="J277" s="1">
        <v>186.7</v>
      </c>
      <c r="K277" s="1">
        <v>149.80000000000001</v>
      </c>
      <c r="L277" s="1">
        <v>116.4</v>
      </c>
      <c r="M277" s="1">
        <v>160.30000000000001</v>
      </c>
      <c r="N277" s="1">
        <v>142.19999999999999</v>
      </c>
      <c r="O277" s="1">
        <v>162.9</v>
      </c>
      <c r="P277" s="1">
        <v>158</v>
      </c>
      <c r="Q277" s="1">
        <v>184.4</v>
      </c>
      <c r="R277" s="1">
        <v>153.4</v>
      </c>
      <c r="S277" s="1">
        <v>144.30000000000001</v>
      </c>
      <c r="T277" s="1">
        <v>152</v>
      </c>
      <c r="U277" s="1">
        <v>156.30000000000001</v>
      </c>
      <c r="V277" s="1">
        <v>142.9</v>
      </c>
      <c r="W277" s="1">
        <v>148.69999999999999</v>
      </c>
      <c r="X277" s="1">
        <v>155.6</v>
      </c>
      <c r="Y277" s="1">
        <v>139.6</v>
      </c>
      <c r="Z277" s="1">
        <v>146.6</v>
      </c>
      <c r="AA277" s="1">
        <v>157.5</v>
      </c>
      <c r="AB277" s="1">
        <v>158.4</v>
      </c>
      <c r="AC277" s="1">
        <v>150</v>
      </c>
      <c r="AD277" s="1">
        <v>154.69999999999999</v>
      </c>
    </row>
    <row r="278" spans="1:30" ht="12.5" x14ac:dyDescent="0.25">
      <c r="A278" s="1" t="s">
        <v>30</v>
      </c>
      <c r="B278" s="1">
        <v>2020</v>
      </c>
      <c r="C278" s="1" t="s">
        <v>43</v>
      </c>
      <c r="D278" s="1">
        <v>146</v>
      </c>
      <c r="E278" s="1">
        <v>186.3</v>
      </c>
      <c r="F278" s="1">
        <v>159.19999999999999</v>
      </c>
      <c r="G278" s="1">
        <v>153.6</v>
      </c>
      <c r="H278" s="1">
        <v>142.6</v>
      </c>
      <c r="I278" s="1">
        <v>147.19999999999999</v>
      </c>
      <c r="J278" s="1">
        <v>200.6</v>
      </c>
      <c r="K278" s="1">
        <v>150.30000000000001</v>
      </c>
      <c r="L278" s="1">
        <v>115.3</v>
      </c>
      <c r="M278" s="1">
        <v>160.9</v>
      </c>
      <c r="N278" s="1">
        <v>147.4</v>
      </c>
      <c r="O278" s="1">
        <v>161.9</v>
      </c>
      <c r="P278" s="1">
        <v>159.6</v>
      </c>
      <c r="Q278" s="1">
        <v>182.7</v>
      </c>
      <c r="R278" s="1">
        <v>155.69999999999999</v>
      </c>
      <c r="S278" s="1">
        <v>150.6</v>
      </c>
      <c r="T278" s="1">
        <v>155</v>
      </c>
      <c r="U278" s="1" t="s">
        <v>32</v>
      </c>
      <c r="V278" s="1">
        <v>146.80000000000001</v>
      </c>
      <c r="W278" s="1">
        <v>152</v>
      </c>
      <c r="X278" s="1">
        <v>159.5</v>
      </c>
      <c r="Y278" s="1">
        <v>146.4</v>
      </c>
      <c r="Z278" s="1">
        <v>152.4</v>
      </c>
      <c r="AA278" s="1">
        <v>162.5</v>
      </c>
      <c r="AB278" s="1">
        <v>156.19999999999999</v>
      </c>
      <c r="AC278" s="1">
        <v>154.30000000000001</v>
      </c>
      <c r="AD278" s="1">
        <v>157.5</v>
      </c>
    </row>
    <row r="279" spans="1:30" ht="12.5" x14ac:dyDescent="0.25">
      <c r="A279" s="1" t="s">
        <v>33</v>
      </c>
      <c r="B279" s="1">
        <v>2020</v>
      </c>
      <c r="C279" s="1" t="s">
        <v>43</v>
      </c>
      <c r="D279" s="1">
        <v>150.6</v>
      </c>
      <c r="E279" s="1">
        <v>193.7</v>
      </c>
      <c r="F279" s="1">
        <v>164.8</v>
      </c>
      <c r="G279" s="1">
        <v>153.69999999999999</v>
      </c>
      <c r="H279" s="1">
        <v>135.69999999999999</v>
      </c>
      <c r="I279" s="1">
        <v>155.69999999999999</v>
      </c>
      <c r="J279" s="1">
        <v>226</v>
      </c>
      <c r="K279" s="1">
        <v>152.19999999999999</v>
      </c>
      <c r="L279" s="1">
        <v>118.1</v>
      </c>
      <c r="M279" s="1">
        <v>161.30000000000001</v>
      </c>
      <c r="N279" s="1">
        <v>139.19999999999999</v>
      </c>
      <c r="O279" s="1">
        <v>164.8</v>
      </c>
      <c r="P279" s="1">
        <v>164.4</v>
      </c>
      <c r="Q279" s="1">
        <v>188.7</v>
      </c>
      <c r="R279" s="1">
        <v>150.5</v>
      </c>
      <c r="S279" s="1">
        <v>136.1</v>
      </c>
      <c r="T279" s="1">
        <v>148.30000000000001</v>
      </c>
      <c r="U279" s="1">
        <v>156.5</v>
      </c>
      <c r="V279" s="1">
        <v>137.1</v>
      </c>
      <c r="W279" s="1">
        <v>145.1</v>
      </c>
      <c r="X279" s="1">
        <v>151</v>
      </c>
      <c r="Y279" s="1">
        <v>135.4</v>
      </c>
      <c r="Z279" s="1">
        <v>142</v>
      </c>
      <c r="AA279" s="1">
        <v>155.69999999999999</v>
      </c>
      <c r="AB279" s="1">
        <v>158.1</v>
      </c>
      <c r="AC279" s="1">
        <v>146.19999999999999</v>
      </c>
      <c r="AD279" s="1">
        <v>155.19999999999999</v>
      </c>
    </row>
    <row r="280" spans="1:30" ht="12.5" x14ac:dyDescent="0.25">
      <c r="A280" s="1" t="s">
        <v>34</v>
      </c>
      <c r="B280" s="1">
        <v>2020</v>
      </c>
      <c r="C280" s="1" t="s">
        <v>43</v>
      </c>
      <c r="D280" s="1">
        <v>147.5</v>
      </c>
      <c r="E280" s="1">
        <v>188.9</v>
      </c>
      <c r="F280" s="1">
        <v>161.4</v>
      </c>
      <c r="G280" s="1">
        <v>153.6</v>
      </c>
      <c r="H280" s="1">
        <v>140.1</v>
      </c>
      <c r="I280" s="1">
        <v>151.19999999999999</v>
      </c>
      <c r="J280" s="1">
        <v>209.2</v>
      </c>
      <c r="K280" s="1">
        <v>150.9</v>
      </c>
      <c r="L280" s="1">
        <v>116.2</v>
      </c>
      <c r="M280" s="1">
        <v>161</v>
      </c>
      <c r="N280" s="1">
        <v>144</v>
      </c>
      <c r="O280" s="1">
        <v>163.19999999999999</v>
      </c>
      <c r="P280" s="1">
        <v>161.4</v>
      </c>
      <c r="Q280" s="1">
        <v>184.3</v>
      </c>
      <c r="R280" s="1">
        <v>153.69999999999999</v>
      </c>
      <c r="S280" s="1">
        <v>144.6</v>
      </c>
      <c r="T280" s="1">
        <v>152.30000000000001</v>
      </c>
      <c r="U280" s="1">
        <v>156.5</v>
      </c>
      <c r="V280" s="1">
        <v>143.1</v>
      </c>
      <c r="W280" s="1">
        <v>148.69999999999999</v>
      </c>
      <c r="X280" s="1">
        <v>156.30000000000001</v>
      </c>
      <c r="Y280" s="1">
        <v>140.6</v>
      </c>
      <c r="Z280" s="1">
        <v>146.5</v>
      </c>
      <c r="AA280" s="1">
        <v>158.5</v>
      </c>
      <c r="AB280" s="1">
        <v>157</v>
      </c>
      <c r="AC280" s="1">
        <v>150.4</v>
      </c>
      <c r="AD280" s="1">
        <v>156.4</v>
      </c>
    </row>
    <row r="281" spans="1:30" ht="12.5" x14ac:dyDescent="0.25">
      <c r="A281" s="1" t="s">
        <v>30</v>
      </c>
      <c r="B281" s="1">
        <v>2020</v>
      </c>
      <c r="C281" s="1" t="s">
        <v>44</v>
      </c>
      <c r="D281" s="1">
        <v>145.4</v>
      </c>
      <c r="E281" s="1">
        <v>188.6</v>
      </c>
      <c r="F281" s="1">
        <v>171.6</v>
      </c>
      <c r="G281" s="1">
        <v>153.80000000000001</v>
      </c>
      <c r="H281" s="1">
        <v>145.4</v>
      </c>
      <c r="I281" s="1">
        <v>146.5</v>
      </c>
      <c r="J281" s="1">
        <v>222.2</v>
      </c>
      <c r="K281" s="1">
        <v>155.9</v>
      </c>
      <c r="L281" s="1">
        <v>114.9</v>
      </c>
      <c r="M281" s="1">
        <v>162</v>
      </c>
      <c r="N281" s="1">
        <v>150</v>
      </c>
      <c r="O281" s="1">
        <v>162.69999999999999</v>
      </c>
      <c r="P281" s="1">
        <v>163.4</v>
      </c>
      <c r="Q281" s="1">
        <v>183.4</v>
      </c>
      <c r="R281" s="1">
        <v>156.30000000000001</v>
      </c>
      <c r="S281" s="1">
        <v>151</v>
      </c>
      <c r="T281" s="1">
        <v>155.5</v>
      </c>
      <c r="U281" s="1" t="s">
        <v>32</v>
      </c>
      <c r="V281" s="1">
        <v>147.5</v>
      </c>
      <c r="W281" s="1">
        <v>152.80000000000001</v>
      </c>
      <c r="X281" s="1">
        <v>160.4</v>
      </c>
      <c r="Y281" s="1">
        <v>146.1</v>
      </c>
      <c r="Z281" s="1">
        <v>153.6</v>
      </c>
      <c r="AA281" s="1">
        <v>161.6</v>
      </c>
      <c r="AB281" s="1">
        <v>156.19999999999999</v>
      </c>
      <c r="AC281" s="1">
        <v>154.5</v>
      </c>
      <c r="AD281" s="1">
        <v>159.80000000000001</v>
      </c>
    </row>
    <row r="282" spans="1:30" ht="12.5" x14ac:dyDescent="0.25">
      <c r="A282" s="1" t="s">
        <v>33</v>
      </c>
      <c r="B282" s="1">
        <v>2020</v>
      </c>
      <c r="C282" s="1" t="s">
        <v>44</v>
      </c>
      <c r="D282" s="1">
        <v>149.69999999999999</v>
      </c>
      <c r="E282" s="1">
        <v>195.5</v>
      </c>
      <c r="F282" s="1">
        <v>176.9</v>
      </c>
      <c r="G282" s="1">
        <v>153.9</v>
      </c>
      <c r="H282" s="1">
        <v>138</v>
      </c>
      <c r="I282" s="1">
        <v>150.5</v>
      </c>
      <c r="J282" s="1">
        <v>245.3</v>
      </c>
      <c r="K282" s="1">
        <v>158.69999999999999</v>
      </c>
      <c r="L282" s="1">
        <v>117.2</v>
      </c>
      <c r="M282" s="1">
        <v>161.4</v>
      </c>
      <c r="N282" s="1">
        <v>141.5</v>
      </c>
      <c r="O282" s="1">
        <v>165.1</v>
      </c>
      <c r="P282" s="1">
        <v>167</v>
      </c>
      <c r="Q282" s="1">
        <v>188.8</v>
      </c>
      <c r="R282" s="1">
        <v>151.1</v>
      </c>
      <c r="S282" s="1">
        <v>136.4</v>
      </c>
      <c r="T282" s="1">
        <v>148.80000000000001</v>
      </c>
      <c r="U282" s="1">
        <v>158</v>
      </c>
      <c r="V282" s="1">
        <v>137.30000000000001</v>
      </c>
      <c r="W282" s="1">
        <v>145.1</v>
      </c>
      <c r="X282" s="1">
        <v>152</v>
      </c>
      <c r="Y282" s="1">
        <v>135.19999999999999</v>
      </c>
      <c r="Z282" s="1">
        <v>144.4</v>
      </c>
      <c r="AA282" s="1">
        <v>156.4</v>
      </c>
      <c r="AB282" s="1">
        <v>157.9</v>
      </c>
      <c r="AC282" s="1">
        <v>146.6</v>
      </c>
      <c r="AD282" s="1">
        <v>156.69999999999999</v>
      </c>
    </row>
    <row r="283" spans="1:30" ht="12.5" x14ac:dyDescent="0.25">
      <c r="A283" s="1" t="s">
        <v>34</v>
      </c>
      <c r="B283" s="1">
        <v>2020</v>
      </c>
      <c r="C283" s="1" t="s">
        <v>44</v>
      </c>
      <c r="D283" s="1">
        <v>146.80000000000001</v>
      </c>
      <c r="E283" s="1">
        <v>191</v>
      </c>
      <c r="F283" s="1">
        <v>173.6</v>
      </c>
      <c r="G283" s="1">
        <v>153.80000000000001</v>
      </c>
      <c r="H283" s="1">
        <v>142.69999999999999</v>
      </c>
      <c r="I283" s="1">
        <v>148.4</v>
      </c>
      <c r="J283" s="1">
        <v>230</v>
      </c>
      <c r="K283" s="1">
        <v>156.80000000000001</v>
      </c>
      <c r="L283" s="1">
        <v>115.7</v>
      </c>
      <c r="M283" s="1">
        <v>161.80000000000001</v>
      </c>
      <c r="N283" s="1">
        <v>146.5</v>
      </c>
      <c r="O283" s="1">
        <v>163.80000000000001</v>
      </c>
      <c r="P283" s="1">
        <v>164.7</v>
      </c>
      <c r="Q283" s="1">
        <v>184.8</v>
      </c>
      <c r="R283" s="1">
        <v>154.30000000000001</v>
      </c>
      <c r="S283" s="1">
        <v>144.9</v>
      </c>
      <c r="T283" s="1">
        <v>152.80000000000001</v>
      </c>
      <c r="U283" s="1">
        <v>158</v>
      </c>
      <c r="V283" s="1">
        <v>143.6</v>
      </c>
      <c r="W283" s="1">
        <v>149.19999999999999</v>
      </c>
      <c r="X283" s="1">
        <v>157.19999999999999</v>
      </c>
      <c r="Y283" s="1">
        <v>140.4</v>
      </c>
      <c r="Z283" s="1">
        <v>148.4</v>
      </c>
      <c r="AA283" s="1">
        <v>158.6</v>
      </c>
      <c r="AB283" s="1">
        <v>156.9</v>
      </c>
      <c r="AC283" s="1">
        <v>150.69999999999999</v>
      </c>
      <c r="AD283" s="1">
        <v>158.4</v>
      </c>
    </row>
    <row r="284" spans="1:30" ht="12.5" x14ac:dyDescent="0.25">
      <c r="A284" s="1" t="s">
        <v>30</v>
      </c>
      <c r="B284" s="1">
        <v>2020</v>
      </c>
      <c r="C284" s="1" t="s">
        <v>45</v>
      </c>
      <c r="D284" s="1">
        <v>144.6</v>
      </c>
      <c r="E284" s="1">
        <v>188.5</v>
      </c>
      <c r="F284" s="1">
        <v>173.4</v>
      </c>
      <c r="G284" s="1">
        <v>154</v>
      </c>
      <c r="H284" s="1">
        <v>150</v>
      </c>
      <c r="I284" s="1">
        <v>145.9</v>
      </c>
      <c r="J284" s="1">
        <v>225.2</v>
      </c>
      <c r="K284" s="1">
        <v>159.5</v>
      </c>
      <c r="L284" s="1">
        <v>114.4</v>
      </c>
      <c r="M284" s="1">
        <v>163.5</v>
      </c>
      <c r="N284" s="1">
        <v>153.4</v>
      </c>
      <c r="O284" s="1">
        <v>163.6</v>
      </c>
      <c r="P284" s="1">
        <v>164.5</v>
      </c>
      <c r="Q284" s="1">
        <v>183.6</v>
      </c>
      <c r="R284" s="1">
        <v>157</v>
      </c>
      <c r="S284" s="1">
        <v>151.6</v>
      </c>
      <c r="T284" s="1">
        <v>156.30000000000001</v>
      </c>
      <c r="U284" s="1" t="s">
        <v>32</v>
      </c>
      <c r="V284" s="1">
        <v>148.69999999999999</v>
      </c>
      <c r="W284" s="1">
        <v>153.4</v>
      </c>
      <c r="X284" s="1">
        <v>161.6</v>
      </c>
      <c r="Y284" s="1">
        <v>146.4</v>
      </c>
      <c r="Z284" s="1">
        <v>153.9</v>
      </c>
      <c r="AA284" s="1">
        <v>162.9</v>
      </c>
      <c r="AB284" s="1">
        <v>156.6</v>
      </c>
      <c r="AC284" s="1">
        <v>155.19999999999999</v>
      </c>
      <c r="AD284" s="1">
        <v>160.69999999999999</v>
      </c>
    </row>
    <row r="285" spans="1:30" ht="12.5" x14ac:dyDescent="0.25">
      <c r="A285" s="1" t="s">
        <v>33</v>
      </c>
      <c r="B285" s="1">
        <v>2020</v>
      </c>
      <c r="C285" s="1" t="s">
        <v>45</v>
      </c>
      <c r="D285" s="1">
        <v>149</v>
      </c>
      <c r="E285" s="1">
        <v>195.7</v>
      </c>
      <c r="F285" s="1">
        <v>178.3</v>
      </c>
      <c r="G285" s="1">
        <v>154.19999999999999</v>
      </c>
      <c r="H285" s="1">
        <v>140.69999999999999</v>
      </c>
      <c r="I285" s="1">
        <v>149.69999999999999</v>
      </c>
      <c r="J285" s="1">
        <v>240.9</v>
      </c>
      <c r="K285" s="1">
        <v>161.5</v>
      </c>
      <c r="L285" s="1">
        <v>117.1</v>
      </c>
      <c r="M285" s="1">
        <v>161.9</v>
      </c>
      <c r="N285" s="1">
        <v>143.30000000000001</v>
      </c>
      <c r="O285" s="1">
        <v>166.1</v>
      </c>
      <c r="P285" s="1">
        <v>167</v>
      </c>
      <c r="Q285" s="1">
        <v>190.2</v>
      </c>
      <c r="R285" s="1">
        <v>151.9</v>
      </c>
      <c r="S285" s="1">
        <v>136.69999999999999</v>
      </c>
      <c r="T285" s="1">
        <v>149.6</v>
      </c>
      <c r="U285" s="1">
        <v>158.4</v>
      </c>
      <c r="V285" s="1">
        <v>137.9</v>
      </c>
      <c r="W285" s="1">
        <v>145.5</v>
      </c>
      <c r="X285" s="1">
        <v>152.9</v>
      </c>
      <c r="Y285" s="1">
        <v>135.5</v>
      </c>
      <c r="Z285" s="1">
        <v>144.30000000000001</v>
      </c>
      <c r="AA285" s="1">
        <v>156.9</v>
      </c>
      <c r="AB285" s="1">
        <v>157.9</v>
      </c>
      <c r="AC285" s="1">
        <v>146.9</v>
      </c>
      <c r="AD285" s="1">
        <v>156.9</v>
      </c>
    </row>
    <row r="286" spans="1:30" ht="12.5" x14ac:dyDescent="0.25">
      <c r="A286" s="1" t="s">
        <v>34</v>
      </c>
      <c r="B286" s="1">
        <v>2020</v>
      </c>
      <c r="C286" s="1" t="s">
        <v>45</v>
      </c>
      <c r="D286" s="1">
        <v>146</v>
      </c>
      <c r="E286" s="1">
        <v>191</v>
      </c>
      <c r="F286" s="1">
        <v>175.3</v>
      </c>
      <c r="G286" s="1">
        <v>154.1</v>
      </c>
      <c r="H286" s="1">
        <v>146.6</v>
      </c>
      <c r="I286" s="1">
        <v>147.69999999999999</v>
      </c>
      <c r="J286" s="1">
        <v>230.5</v>
      </c>
      <c r="K286" s="1">
        <v>160.19999999999999</v>
      </c>
      <c r="L286" s="1">
        <v>115.3</v>
      </c>
      <c r="M286" s="1">
        <v>163</v>
      </c>
      <c r="N286" s="1">
        <v>149.19999999999999</v>
      </c>
      <c r="O286" s="1">
        <v>164.8</v>
      </c>
      <c r="P286" s="1">
        <v>165.4</v>
      </c>
      <c r="Q286" s="1">
        <v>185.4</v>
      </c>
      <c r="R286" s="1">
        <v>155</v>
      </c>
      <c r="S286" s="1">
        <v>145.4</v>
      </c>
      <c r="T286" s="1">
        <v>153.6</v>
      </c>
      <c r="U286" s="1">
        <v>158.4</v>
      </c>
      <c r="V286" s="1">
        <v>144.6</v>
      </c>
      <c r="W286" s="1">
        <v>149.69999999999999</v>
      </c>
      <c r="X286" s="1">
        <v>158.30000000000001</v>
      </c>
      <c r="Y286" s="1">
        <v>140.69999999999999</v>
      </c>
      <c r="Z286" s="1">
        <v>148.5</v>
      </c>
      <c r="AA286" s="1">
        <v>159.4</v>
      </c>
      <c r="AB286" s="1">
        <v>157.1</v>
      </c>
      <c r="AC286" s="1">
        <v>151.19999999999999</v>
      </c>
      <c r="AD286" s="1">
        <v>158.9</v>
      </c>
    </row>
    <row r="287" spans="1:30" ht="12.5" x14ac:dyDescent="0.25">
      <c r="A287" s="1" t="s">
        <v>30</v>
      </c>
      <c r="B287" s="1">
        <v>2021</v>
      </c>
      <c r="C287" s="1" t="s">
        <v>31</v>
      </c>
      <c r="D287" s="1">
        <v>143.4</v>
      </c>
      <c r="E287" s="1">
        <v>187.5</v>
      </c>
      <c r="F287" s="1">
        <v>173.4</v>
      </c>
      <c r="G287" s="1">
        <v>154</v>
      </c>
      <c r="H287" s="1">
        <v>154.80000000000001</v>
      </c>
      <c r="I287" s="1">
        <v>147</v>
      </c>
      <c r="J287" s="1">
        <v>187.8</v>
      </c>
      <c r="K287" s="1">
        <v>159.5</v>
      </c>
      <c r="L287" s="1">
        <v>113.8</v>
      </c>
      <c r="M287" s="1">
        <v>164.5</v>
      </c>
      <c r="N287" s="1">
        <v>156.1</v>
      </c>
      <c r="O287" s="1">
        <v>164.3</v>
      </c>
      <c r="P287" s="1">
        <v>159.6</v>
      </c>
      <c r="Q287" s="1">
        <v>184.6</v>
      </c>
      <c r="R287" s="1">
        <v>157.5</v>
      </c>
      <c r="S287" s="1">
        <v>152.4</v>
      </c>
      <c r="T287" s="1">
        <v>156.80000000000001</v>
      </c>
      <c r="U287" s="1" t="s">
        <v>32</v>
      </c>
      <c r="V287" s="1">
        <v>150.9</v>
      </c>
      <c r="W287" s="1">
        <v>153.9</v>
      </c>
      <c r="X287" s="1">
        <v>162.5</v>
      </c>
      <c r="Y287" s="1">
        <v>147.5</v>
      </c>
      <c r="Z287" s="1">
        <v>155.1</v>
      </c>
      <c r="AA287" s="1">
        <v>163.5</v>
      </c>
      <c r="AB287" s="1">
        <v>156.19999999999999</v>
      </c>
      <c r="AC287" s="1">
        <v>155.9</v>
      </c>
      <c r="AD287" s="1">
        <v>158.5</v>
      </c>
    </row>
    <row r="288" spans="1:30" ht="12.5" x14ac:dyDescent="0.25">
      <c r="A288" s="1" t="s">
        <v>33</v>
      </c>
      <c r="B288" s="1">
        <v>2021</v>
      </c>
      <c r="C288" s="1" t="s">
        <v>31</v>
      </c>
      <c r="D288" s="1">
        <v>148</v>
      </c>
      <c r="E288" s="1">
        <v>194.8</v>
      </c>
      <c r="F288" s="1">
        <v>178.4</v>
      </c>
      <c r="G288" s="1">
        <v>154.4</v>
      </c>
      <c r="H288" s="1">
        <v>144.1</v>
      </c>
      <c r="I288" s="1">
        <v>152.6</v>
      </c>
      <c r="J288" s="1">
        <v>206.8</v>
      </c>
      <c r="K288" s="1">
        <v>162.1</v>
      </c>
      <c r="L288" s="1">
        <v>116.3</v>
      </c>
      <c r="M288" s="1">
        <v>163</v>
      </c>
      <c r="N288" s="1">
        <v>145.9</v>
      </c>
      <c r="O288" s="1">
        <v>167.2</v>
      </c>
      <c r="P288" s="1">
        <v>163.4</v>
      </c>
      <c r="Q288" s="1">
        <v>191.8</v>
      </c>
      <c r="R288" s="1">
        <v>152.5</v>
      </c>
      <c r="S288" s="1">
        <v>137.30000000000001</v>
      </c>
      <c r="T288" s="1">
        <v>150.19999999999999</v>
      </c>
      <c r="U288" s="1">
        <v>157.69999999999999</v>
      </c>
      <c r="V288" s="1">
        <v>142.9</v>
      </c>
      <c r="W288" s="1">
        <v>145.69999999999999</v>
      </c>
      <c r="X288" s="1">
        <v>154.1</v>
      </c>
      <c r="Y288" s="1">
        <v>136.9</v>
      </c>
      <c r="Z288" s="1">
        <v>145.4</v>
      </c>
      <c r="AA288" s="1">
        <v>156.1</v>
      </c>
      <c r="AB288" s="1">
        <v>157.69999999999999</v>
      </c>
      <c r="AC288" s="1">
        <v>147.6</v>
      </c>
      <c r="AD288" s="1">
        <v>156</v>
      </c>
    </row>
    <row r="289" spans="1:30" ht="12.5" x14ac:dyDescent="0.25">
      <c r="A289" s="1" t="s">
        <v>34</v>
      </c>
      <c r="B289" s="1">
        <v>2021</v>
      </c>
      <c r="C289" s="1" t="s">
        <v>31</v>
      </c>
      <c r="D289" s="1">
        <v>144.9</v>
      </c>
      <c r="E289" s="1">
        <v>190.1</v>
      </c>
      <c r="F289" s="1">
        <v>175.3</v>
      </c>
      <c r="G289" s="1">
        <v>154.1</v>
      </c>
      <c r="H289" s="1">
        <v>150.9</v>
      </c>
      <c r="I289" s="1">
        <v>149.6</v>
      </c>
      <c r="J289" s="1">
        <v>194.2</v>
      </c>
      <c r="K289" s="1">
        <v>160.4</v>
      </c>
      <c r="L289" s="1">
        <v>114.6</v>
      </c>
      <c r="M289" s="1">
        <v>164</v>
      </c>
      <c r="N289" s="1">
        <v>151.80000000000001</v>
      </c>
      <c r="O289" s="1">
        <v>165.6</v>
      </c>
      <c r="P289" s="1">
        <v>161</v>
      </c>
      <c r="Q289" s="1">
        <v>186.5</v>
      </c>
      <c r="R289" s="1">
        <v>155.5</v>
      </c>
      <c r="S289" s="1">
        <v>146.1</v>
      </c>
      <c r="T289" s="1">
        <v>154.19999999999999</v>
      </c>
      <c r="U289" s="1">
        <v>157.69999999999999</v>
      </c>
      <c r="V289" s="1">
        <v>147.9</v>
      </c>
      <c r="W289" s="1">
        <v>150</v>
      </c>
      <c r="X289" s="1">
        <v>159.30000000000001</v>
      </c>
      <c r="Y289" s="1">
        <v>141.9</v>
      </c>
      <c r="Z289" s="1">
        <v>149.6</v>
      </c>
      <c r="AA289" s="1">
        <v>159.19999999999999</v>
      </c>
      <c r="AB289" s="1">
        <v>156.80000000000001</v>
      </c>
      <c r="AC289" s="1">
        <v>151.9</v>
      </c>
      <c r="AD289" s="1">
        <v>157.30000000000001</v>
      </c>
    </row>
    <row r="290" spans="1:30" ht="12.5" x14ac:dyDescent="0.25">
      <c r="A290" s="1" t="s">
        <v>30</v>
      </c>
      <c r="B290" s="1">
        <v>2021</v>
      </c>
      <c r="C290" s="1" t="s">
        <v>35</v>
      </c>
      <c r="D290" s="1">
        <v>142.80000000000001</v>
      </c>
      <c r="E290" s="1">
        <v>184</v>
      </c>
      <c r="F290" s="1">
        <v>168</v>
      </c>
      <c r="G290" s="1">
        <v>154.4</v>
      </c>
      <c r="H290" s="1">
        <v>163</v>
      </c>
      <c r="I290" s="1">
        <v>147.80000000000001</v>
      </c>
      <c r="J290" s="1">
        <v>149.69999999999999</v>
      </c>
      <c r="K290" s="1">
        <v>158.30000000000001</v>
      </c>
      <c r="L290" s="1">
        <v>111.8</v>
      </c>
      <c r="M290" s="1">
        <v>165</v>
      </c>
      <c r="N290" s="1">
        <v>160</v>
      </c>
      <c r="O290" s="1">
        <v>165.8</v>
      </c>
      <c r="P290" s="1">
        <v>154.69999999999999</v>
      </c>
      <c r="Q290" s="1">
        <v>186.5</v>
      </c>
      <c r="R290" s="1">
        <v>159.1</v>
      </c>
      <c r="S290" s="1">
        <v>153.9</v>
      </c>
      <c r="T290" s="1">
        <v>158.4</v>
      </c>
      <c r="U290" s="1" t="s">
        <v>32</v>
      </c>
      <c r="V290" s="1">
        <v>154.4</v>
      </c>
      <c r="W290" s="1">
        <v>154.80000000000001</v>
      </c>
      <c r="X290" s="1">
        <v>164.3</v>
      </c>
      <c r="Y290" s="1">
        <v>150.19999999999999</v>
      </c>
      <c r="Z290" s="1">
        <v>157</v>
      </c>
      <c r="AA290" s="1">
        <v>163.6</v>
      </c>
      <c r="AB290" s="1">
        <v>155.19999999999999</v>
      </c>
      <c r="AC290" s="1">
        <v>157.19999999999999</v>
      </c>
      <c r="AD290" s="1">
        <v>156.69999999999999</v>
      </c>
    </row>
    <row r="291" spans="1:30" ht="12.5" x14ac:dyDescent="0.25">
      <c r="A291" s="1" t="s">
        <v>33</v>
      </c>
      <c r="B291" s="1">
        <v>2021</v>
      </c>
      <c r="C291" s="1" t="s">
        <v>35</v>
      </c>
      <c r="D291" s="1">
        <v>147.6</v>
      </c>
      <c r="E291" s="1">
        <v>191.2</v>
      </c>
      <c r="F291" s="1">
        <v>169.9</v>
      </c>
      <c r="G291" s="1">
        <v>155.1</v>
      </c>
      <c r="H291" s="1">
        <v>151.4</v>
      </c>
      <c r="I291" s="1">
        <v>154</v>
      </c>
      <c r="J291" s="1">
        <v>180.2</v>
      </c>
      <c r="K291" s="1">
        <v>159.80000000000001</v>
      </c>
      <c r="L291" s="1">
        <v>114.9</v>
      </c>
      <c r="M291" s="1">
        <v>162.5</v>
      </c>
      <c r="N291" s="1">
        <v>149.19999999999999</v>
      </c>
      <c r="O291" s="1">
        <v>169.4</v>
      </c>
      <c r="P291" s="1">
        <v>160.80000000000001</v>
      </c>
      <c r="Q291" s="1">
        <v>193.3</v>
      </c>
      <c r="R291" s="1">
        <v>154.19999999999999</v>
      </c>
      <c r="S291" s="1">
        <v>138.19999999999999</v>
      </c>
      <c r="T291" s="1">
        <v>151.80000000000001</v>
      </c>
      <c r="U291" s="1">
        <v>159.80000000000001</v>
      </c>
      <c r="V291" s="1">
        <v>149.1</v>
      </c>
      <c r="W291" s="1">
        <v>146.5</v>
      </c>
      <c r="X291" s="1">
        <v>156.30000000000001</v>
      </c>
      <c r="Y291" s="1">
        <v>140.5</v>
      </c>
      <c r="Z291" s="1">
        <v>147.30000000000001</v>
      </c>
      <c r="AA291" s="1">
        <v>156.6</v>
      </c>
      <c r="AB291" s="1">
        <v>156.69999999999999</v>
      </c>
      <c r="AC291" s="1">
        <v>149.30000000000001</v>
      </c>
      <c r="AD291" s="1">
        <v>156.5</v>
      </c>
    </row>
    <row r="292" spans="1:30" ht="12.5" x14ac:dyDescent="0.25">
      <c r="A292" s="1" t="s">
        <v>34</v>
      </c>
      <c r="B292" s="1">
        <v>2021</v>
      </c>
      <c r="C292" s="1" t="s">
        <v>35</v>
      </c>
      <c r="D292" s="1">
        <v>144.30000000000001</v>
      </c>
      <c r="E292" s="1">
        <v>186.5</v>
      </c>
      <c r="F292" s="1">
        <v>168.7</v>
      </c>
      <c r="G292" s="1">
        <v>154.69999999999999</v>
      </c>
      <c r="H292" s="1">
        <v>158.69999999999999</v>
      </c>
      <c r="I292" s="1">
        <v>150.69999999999999</v>
      </c>
      <c r="J292" s="1">
        <v>160</v>
      </c>
      <c r="K292" s="1">
        <v>158.80000000000001</v>
      </c>
      <c r="L292" s="1">
        <v>112.8</v>
      </c>
      <c r="M292" s="1">
        <v>164.2</v>
      </c>
      <c r="N292" s="1">
        <v>155.5</v>
      </c>
      <c r="O292" s="1">
        <v>167.5</v>
      </c>
      <c r="P292" s="1">
        <v>156.9</v>
      </c>
      <c r="Q292" s="1">
        <v>188.3</v>
      </c>
      <c r="R292" s="1">
        <v>157.19999999999999</v>
      </c>
      <c r="S292" s="1">
        <v>147.4</v>
      </c>
      <c r="T292" s="1">
        <v>155.80000000000001</v>
      </c>
      <c r="U292" s="1">
        <v>159.80000000000001</v>
      </c>
      <c r="V292" s="1">
        <v>152.4</v>
      </c>
      <c r="W292" s="1">
        <v>150.9</v>
      </c>
      <c r="X292" s="1">
        <v>161.30000000000001</v>
      </c>
      <c r="Y292" s="1">
        <v>145.1</v>
      </c>
      <c r="Z292" s="1">
        <v>151.5</v>
      </c>
      <c r="AA292" s="1">
        <v>159.5</v>
      </c>
      <c r="AB292" s="1">
        <v>155.80000000000001</v>
      </c>
      <c r="AC292" s="1">
        <v>153.4</v>
      </c>
      <c r="AD292" s="1">
        <v>156.6</v>
      </c>
    </row>
    <row r="293" spans="1:30" ht="12.5" x14ac:dyDescent="0.25">
      <c r="A293" s="1" t="s">
        <v>30</v>
      </c>
      <c r="B293" s="1">
        <v>2021</v>
      </c>
      <c r="C293" s="1" t="s">
        <v>36</v>
      </c>
      <c r="D293" s="1">
        <v>142.5</v>
      </c>
      <c r="E293" s="1">
        <v>189.4</v>
      </c>
      <c r="F293" s="1">
        <v>163.19999999999999</v>
      </c>
      <c r="G293" s="1">
        <v>154.5</v>
      </c>
      <c r="H293" s="1">
        <v>168.2</v>
      </c>
      <c r="I293" s="1">
        <v>150.5</v>
      </c>
      <c r="J293" s="1">
        <v>141</v>
      </c>
      <c r="K293" s="1">
        <v>159.19999999999999</v>
      </c>
      <c r="L293" s="1">
        <v>111.7</v>
      </c>
      <c r="M293" s="1">
        <v>164</v>
      </c>
      <c r="N293" s="1">
        <v>160.6</v>
      </c>
      <c r="O293" s="1">
        <v>166.4</v>
      </c>
      <c r="P293" s="1">
        <v>154.5</v>
      </c>
      <c r="Q293" s="1">
        <v>186.1</v>
      </c>
      <c r="R293" s="1">
        <v>159.6</v>
      </c>
      <c r="S293" s="1">
        <v>154.4</v>
      </c>
      <c r="T293" s="1">
        <v>158.9</v>
      </c>
      <c r="U293" s="1" t="s">
        <v>47</v>
      </c>
      <c r="V293" s="1">
        <v>156</v>
      </c>
      <c r="W293" s="1">
        <v>154.80000000000001</v>
      </c>
      <c r="X293" s="1">
        <v>164.6</v>
      </c>
      <c r="Y293" s="1">
        <v>151.30000000000001</v>
      </c>
      <c r="Z293" s="1">
        <v>157.80000000000001</v>
      </c>
      <c r="AA293" s="1">
        <v>163.80000000000001</v>
      </c>
      <c r="AB293" s="1">
        <v>153.1</v>
      </c>
      <c r="AC293" s="1">
        <v>157.30000000000001</v>
      </c>
      <c r="AD293" s="1">
        <v>156.69999999999999</v>
      </c>
    </row>
    <row r="294" spans="1:30" ht="12.5" x14ac:dyDescent="0.25">
      <c r="A294" s="1" t="s">
        <v>33</v>
      </c>
      <c r="B294" s="1">
        <v>2021</v>
      </c>
      <c r="C294" s="1" t="s">
        <v>36</v>
      </c>
      <c r="D294" s="1">
        <v>147.5</v>
      </c>
      <c r="E294" s="1">
        <v>197.5</v>
      </c>
      <c r="F294" s="1">
        <v>164.7</v>
      </c>
      <c r="G294" s="1">
        <v>155.6</v>
      </c>
      <c r="H294" s="1">
        <v>156.4</v>
      </c>
      <c r="I294" s="1">
        <v>157.30000000000001</v>
      </c>
      <c r="J294" s="1">
        <v>166.1</v>
      </c>
      <c r="K294" s="1">
        <v>161.1</v>
      </c>
      <c r="L294" s="1">
        <v>114.3</v>
      </c>
      <c r="M294" s="1">
        <v>162.6</v>
      </c>
      <c r="N294" s="1">
        <v>150.69999999999999</v>
      </c>
      <c r="O294" s="1">
        <v>170.3</v>
      </c>
      <c r="P294" s="1">
        <v>160.4</v>
      </c>
      <c r="Q294" s="1">
        <v>193.5</v>
      </c>
      <c r="R294" s="1">
        <v>155.1</v>
      </c>
      <c r="S294" s="1">
        <v>138.69999999999999</v>
      </c>
      <c r="T294" s="1">
        <v>152.6</v>
      </c>
      <c r="U294" s="1">
        <v>159.9</v>
      </c>
      <c r="V294" s="1">
        <v>154.80000000000001</v>
      </c>
      <c r="W294" s="1">
        <v>147.19999999999999</v>
      </c>
      <c r="X294" s="1">
        <v>156.9</v>
      </c>
      <c r="Y294" s="1">
        <v>141.69999999999999</v>
      </c>
      <c r="Z294" s="1">
        <v>148.6</v>
      </c>
      <c r="AA294" s="1">
        <v>157.6</v>
      </c>
      <c r="AB294" s="1">
        <v>154.9</v>
      </c>
      <c r="AC294" s="1">
        <v>150</v>
      </c>
      <c r="AD294" s="1">
        <v>156.9</v>
      </c>
    </row>
    <row r="295" spans="1:30" ht="12.5" x14ac:dyDescent="0.25">
      <c r="A295" s="1" t="s">
        <v>34</v>
      </c>
      <c r="B295" s="1">
        <v>2021</v>
      </c>
      <c r="C295" s="1" t="s">
        <v>36</v>
      </c>
      <c r="D295" s="1">
        <v>144.1</v>
      </c>
      <c r="E295" s="1">
        <v>192.2</v>
      </c>
      <c r="F295" s="1">
        <v>163.80000000000001</v>
      </c>
      <c r="G295" s="1">
        <v>154.9</v>
      </c>
      <c r="H295" s="1">
        <v>163.9</v>
      </c>
      <c r="I295" s="1">
        <v>153.69999999999999</v>
      </c>
      <c r="J295" s="1">
        <v>149.5</v>
      </c>
      <c r="K295" s="1">
        <v>159.80000000000001</v>
      </c>
      <c r="L295" s="1">
        <v>112.6</v>
      </c>
      <c r="M295" s="1">
        <v>163.5</v>
      </c>
      <c r="N295" s="1">
        <v>156.5</v>
      </c>
      <c r="O295" s="1">
        <v>168.2</v>
      </c>
      <c r="P295" s="1">
        <v>156.69999999999999</v>
      </c>
      <c r="Q295" s="1">
        <v>188.1</v>
      </c>
      <c r="R295" s="1">
        <v>157.80000000000001</v>
      </c>
      <c r="S295" s="1">
        <v>147.9</v>
      </c>
      <c r="T295" s="1">
        <v>156.4</v>
      </c>
      <c r="U295" s="1">
        <v>159.9</v>
      </c>
      <c r="V295" s="1">
        <v>155.5</v>
      </c>
      <c r="W295" s="1">
        <v>151.19999999999999</v>
      </c>
      <c r="X295" s="1">
        <v>161.69999999999999</v>
      </c>
      <c r="Y295" s="1">
        <v>146.19999999999999</v>
      </c>
      <c r="Z295" s="1">
        <v>152.6</v>
      </c>
      <c r="AA295" s="1">
        <v>160.19999999999999</v>
      </c>
      <c r="AB295" s="1">
        <v>153.80000000000001</v>
      </c>
      <c r="AC295" s="1">
        <v>153.80000000000001</v>
      </c>
      <c r="AD295" s="1">
        <v>156.80000000000001</v>
      </c>
    </row>
    <row r="296" spans="1:30" ht="12.5" x14ac:dyDescent="0.25">
      <c r="A296" s="1" t="s">
        <v>30</v>
      </c>
      <c r="B296" s="1">
        <v>2021</v>
      </c>
      <c r="C296" s="1" t="s">
        <v>37</v>
      </c>
      <c r="D296" s="1">
        <v>142.69999999999999</v>
      </c>
      <c r="E296" s="1">
        <v>195.5</v>
      </c>
      <c r="F296" s="1">
        <v>163.4</v>
      </c>
      <c r="G296" s="1">
        <v>155</v>
      </c>
      <c r="H296" s="1">
        <v>175.2</v>
      </c>
      <c r="I296" s="1">
        <v>160.6</v>
      </c>
      <c r="J296" s="1">
        <v>135.1</v>
      </c>
      <c r="K296" s="1">
        <v>161.1</v>
      </c>
      <c r="L296" s="1">
        <v>112.2</v>
      </c>
      <c r="M296" s="1">
        <v>164.4</v>
      </c>
      <c r="N296" s="1">
        <v>161.9</v>
      </c>
      <c r="O296" s="1">
        <v>166.8</v>
      </c>
      <c r="P296" s="1">
        <v>155.6</v>
      </c>
      <c r="Q296" s="1">
        <v>186.8</v>
      </c>
      <c r="R296" s="1">
        <v>160.69999999999999</v>
      </c>
      <c r="S296" s="1">
        <v>155.1</v>
      </c>
      <c r="T296" s="1">
        <v>159.9</v>
      </c>
      <c r="U296" s="1" t="s">
        <v>47</v>
      </c>
      <c r="V296" s="1">
        <v>156</v>
      </c>
      <c r="W296" s="1">
        <v>155.5</v>
      </c>
      <c r="X296" s="1">
        <v>165.3</v>
      </c>
      <c r="Y296" s="1">
        <v>151.69999999999999</v>
      </c>
      <c r="Z296" s="1">
        <v>158.6</v>
      </c>
      <c r="AA296" s="1">
        <v>164.1</v>
      </c>
      <c r="AB296" s="1">
        <v>154.6</v>
      </c>
      <c r="AC296" s="1">
        <v>158</v>
      </c>
      <c r="AD296" s="1">
        <v>157.6</v>
      </c>
    </row>
    <row r="297" spans="1:30" ht="12.5" x14ac:dyDescent="0.25">
      <c r="A297" s="1" t="s">
        <v>33</v>
      </c>
      <c r="B297" s="1">
        <v>2021</v>
      </c>
      <c r="C297" s="1" t="s">
        <v>37</v>
      </c>
      <c r="D297" s="1">
        <v>147.6</v>
      </c>
      <c r="E297" s="1">
        <v>202.5</v>
      </c>
      <c r="F297" s="1">
        <v>166.4</v>
      </c>
      <c r="G297" s="1">
        <v>156</v>
      </c>
      <c r="H297" s="1">
        <v>161.4</v>
      </c>
      <c r="I297" s="1">
        <v>168.8</v>
      </c>
      <c r="J297" s="1">
        <v>161.6</v>
      </c>
      <c r="K297" s="1">
        <v>162.80000000000001</v>
      </c>
      <c r="L297" s="1">
        <v>114.8</v>
      </c>
      <c r="M297" s="1">
        <v>162.80000000000001</v>
      </c>
      <c r="N297" s="1">
        <v>151.5</v>
      </c>
      <c r="O297" s="1">
        <v>171.4</v>
      </c>
      <c r="P297" s="1">
        <v>162</v>
      </c>
      <c r="Q297" s="1">
        <v>194.4</v>
      </c>
      <c r="R297" s="1">
        <v>155.9</v>
      </c>
      <c r="S297" s="1">
        <v>139.30000000000001</v>
      </c>
      <c r="T297" s="1">
        <v>153.4</v>
      </c>
      <c r="U297" s="1">
        <v>161.4</v>
      </c>
      <c r="V297" s="1">
        <v>154.9</v>
      </c>
      <c r="W297" s="1">
        <v>147.6</v>
      </c>
      <c r="X297" s="1">
        <v>157.5</v>
      </c>
      <c r="Y297" s="1">
        <v>142.1</v>
      </c>
      <c r="Z297" s="1">
        <v>149.1</v>
      </c>
      <c r="AA297" s="1">
        <v>157.6</v>
      </c>
      <c r="AB297" s="1">
        <v>156.6</v>
      </c>
      <c r="AC297" s="1">
        <v>150.5</v>
      </c>
      <c r="AD297" s="1">
        <v>158</v>
      </c>
    </row>
    <row r="298" spans="1:30" ht="12.5" x14ac:dyDescent="0.25">
      <c r="A298" s="1" t="s">
        <v>34</v>
      </c>
      <c r="B298" s="1">
        <v>2021</v>
      </c>
      <c r="C298" s="1" t="s">
        <v>37</v>
      </c>
      <c r="D298" s="1">
        <v>144.30000000000001</v>
      </c>
      <c r="E298" s="1">
        <v>198</v>
      </c>
      <c r="F298" s="1">
        <v>164.6</v>
      </c>
      <c r="G298" s="1">
        <v>155.4</v>
      </c>
      <c r="H298" s="1">
        <v>170.1</v>
      </c>
      <c r="I298" s="1">
        <v>164.4</v>
      </c>
      <c r="J298" s="1">
        <v>144.1</v>
      </c>
      <c r="K298" s="1">
        <v>161.69999999999999</v>
      </c>
      <c r="L298" s="1">
        <v>113.1</v>
      </c>
      <c r="M298" s="1">
        <v>163.9</v>
      </c>
      <c r="N298" s="1">
        <v>157.6</v>
      </c>
      <c r="O298" s="1">
        <v>168.9</v>
      </c>
      <c r="P298" s="1">
        <v>158</v>
      </c>
      <c r="Q298" s="1">
        <v>188.8</v>
      </c>
      <c r="R298" s="1">
        <v>158.80000000000001</v>
      </c>
      <c r="S298" s="1">
        <v>148.5</v>
      </c>
      <c r="T298" s="1">
        <v>157.30000000000001</v>
      </c>
      <c r="U298" s="1">
        <v>161.4</v>
      </c>
      <c r="V298" s="1">
        <v>155.6</v>
      </c>
      <c r="W298" s="1">
        <v>151.80000000000001</v>
      </c>
      <c r="X298" s="1">
        <v>162.30000000000001</v>
      </c>
      <c r="Y298" s="1">
        <v>146.6</v>
      </c>
      <c r="Z298" s="1">
        <v>153.19999999999999</v>
      </c>
      <c r="AA298" s="1">
        <v>160.30000000000001</v>
      </c>
      <c r="AB298" s="1">
        <v>155.4</v>
      </c>
      <c r="AC298" s="1">
        <v>154.4</v>
      </c>
      <c r="AD298" s="1">
        <v>157.80000000000001</v>
      </c>
    </row>
    <row r="299" spans="1:30" ht="12.5" x14ac:dyDescent="0.25">
      <c r="A299" s="1" t="s">
        <v>30</v>
      </c>
      <c r="B299" s="1">
        <v>2021</v>
      </c>
      <c r="C299" s="1" t="s">
        <v>38</v>
      </c>
      <c r="D299" s="1">
        <v>145.1</v>
      </c>
      <c r="E299" s="1">
        <v>198.5</v>
      </c>
      <c r="F299" s="1">
        <v>168.6</v>
      </c>
      <c r="G299" s="1">
        <v>155.80000000000001</v>
      </c>
      <c r="H299" s="1">
        <v>184.4</v>
      </c>
      <c r="I299" s="1">
        <v>162.30000000000001</v>
      </c>
      <c r="J299" s="1">
        <v>138.4</v>
      </c>
      <c r="K299" s="1">
        <v>165.1</v>
      </c>
      <c r="L299" s="1">
        <v>114.3</v>
      </c>
      <c r="M299" s="1">
        <v>169.7</v>
      </c>
      <c r="N299" s="1">
        <v>164.6</v>
      </c>
      <c r="O299" s="1">
        <v>169.8</v>
      </c>
      <c r="P299" s="1">
        <v>158.69999999999999</v>
      </c>
      <c r="Q299" s="1">
        <v>189.6</v>
      </c>
      <c r="R299" s="1">
        <v>165.3</v>
      </c>
      <c r="S299" s="1">
        <v>160.6</v>
      </c>
      <c r="T299" s="1">
        <v>164.5</v>
      </c>
      <c r="U299" s="1" t="s">
        <v>32</v>
      </c>
      <c r="V299" s="1">
        <v>161.69999999999999</v>
      </c>
      <c r="W299" s="1">
        <v>158.80000000000001</v>
      </c>
      <c r="X299" s="1">
        <v>169.1</v>
      </c>
      <c r="Y299" s="1">
        <v>153.19999999999999</v>
      </c>
      <c r="Z299" s="1">
        <v>160</v>
      </c>
      <c r="AA299" s="1">
        <v>167.6</v>
      </c>
      <c r="AB299" s="1">
        <v>159.30000000000001</v>
      </c>
      <c r="AC299" s="1">
        <v>161.1</v>
      </c>
      <c r="AD299" s="1">
        <v>161.1</v>
      </c>
    </row>
    <row r="300" spans="1:30" ht="12.5" x14ac:dyDescent="0.25">
      <c r="A300" s="1" t="s">
        <v>33</v>
      </c>
      <c r="B300" s="1">
        <v>2021</v>
      </c>
      <c r="C300" s="1" t="s">
        <v>38</v>
      </c>
      <c r="D300" s="1">
        <v>148.80000000000001</v>
      </c>
      <c r="E300" s="1">
        <v>204.3</v>
      </c>
      <c r="F300" s="1">
        <v>173</v>
      </c>
      <c r="G300" s="1">
        <v>156.5</v>
      </c>
      <c r="H300" s="1">
        <v>168.8</v>
      </c>
      <c r="I300" s="1">
        <v>172.5</v>
      </c>
      <c r="J300" s="1">
        <v>166.5</v>
      </c>
      <c r="K300" s="1">
        <v>165.9</v>
      </c>
      <c r="L300" s="1">
        <v>115.9</v>
      </c>
      <c r="M300" s="1">
        <v>165.2</v>
      </c>
      <c r="N300" s="1">
        <v>152</v>
      </c>
      <c r="O300" s="1">
        <v>171.1</v>
      </c>
      <c r="P300" s="1">
        <v>164.2</v>
      </c>
      <c r="Q300" s="1">
        <v>198.2</v>
      </c>
      <c r="R300" s="1">
        <v>156.5</v>
      </c>
      <c r="S300" s="1">
        <v>140.19999999999999</v>
      </c>
      <c r="T300" s="1">
        <v>154.1</v>
      </c>
      <c r="U300" s="1">
        <v>161.6</v>
      </c>
      <c r="V300" s="1">
        <v>155.5</v>
      </c>
      <c r="W300" s="1">
        <v>150.1</v>
      </c>
      <c r="X300" s="1">
        <v>160.4</v>
      </c>
      <c r="Y300" s="1">
        <v>145</v>
      </c>
      <c r="Z300" s="1">
        <v>152.6</v>
      </c>
      <c r="AA300" s="1">
        <v>156.6</v>
      </c>
      <c r="AB300" s="1">
        <v>157.5</v>
      </c>
      <c r="AC300" s="1">
        <v>152.30000000000001</v>
      </c>
      <c r="AD300" s="1">
        <v>159.5</v>
      </c>
    </row>
    <row r="301" spans="1:30" ht="12.5" x14ac:dyDescent="0.25">
      <c r="A301" s="1" t="s">
        <v>34</v>
      </c>
      <c r="B301" s="1">
        <v>2021</v>
      </c>
      <c r="C301" s="1" t="s">
        <v>38</v>
      </c>
      <c r="D301" s="1">
        <v>146.30000000000001</v>
      </c>
      <c r="E301" s="1">
        <v>200.5</v>
      </c>
      <c r="F301" s="1">
        <v>170.3</v>
      </c>
      <c r="G301" s="1">
        <v>156.1</v>
      </c>
      <c r="H301" s="1">
        <v>178.7</v>
      </c>
      <c r="I301" s="1">
        <v>167.1</v>
      </c>
      <c r="J301" s="1">
        <v>147.9</v>
      </c>
      <c r="K301" s="1">
        <v>165.4</v>
      </c>
      <c r="L301" s="1">
        <v>114.8</v>
      </c>
      <c r="M301" s="1">
        <v>168.2</v>
      </c>
      <c r="N301" s="1">
        <v>159.30000000000001</v>
      </c>
      <c r="O301" s="1">
        <v>170.4</v>
      </c>
      <c r="P301" s="1">
        <v>160.69999999999999</v>
      </c>
      <c r="Q301" s="1">
        <v>191.9</v>
      </c>
      <c r="R301" s="1">
        <v>161.80000000000001</v>
      </c>
      <c r="S301" s="1">
        <v>152.1</v>
      </c>
      <c r="T301" s="1">
        <v>160.4</v>
      </c>
      <c r="U301" s="1">
        <v>161.6</v>
      </c>
      <c r="V301" s="1">
        <v>159.4</v>
      </c>
      <c r="W301" s="1">
        <v>154.69999999999999</v>
      </c>
      <c r="X301" s="1">
        <v>165.8</v>
      </c>
      <c r="Y301" s="1">
        <v>148.9</v>
      </c>
      <c r="Z301" s="1">
        <v>155.80000000000001</v>
      </c>
      <c r="AA301" s="1">
        <v>161.19999999999999</v>
      </c>
      <c r="AB301" s="1">
        <v>158.6</v>
      </c>
      <c r="AC301" s="1">
        <v>156.80000000000001</v>
      </c>
      <c r="AD301" s="1">
        <v>160.4</v>
      </c>
    </row>
    <row r="302" spans="1:30" ht="12.5" x14ac:dyDescent="0.25">
      <c r="A302" s="1" t="s">
        <v>30</v>
      </c>
      <c r="B302" s="1">
        <v>2021</v>
      </c>
      <c r="C302" s="1" t="s">
        <v>39</v>
      </c>
      <c r="D302" s="1">
        <v>145.6</v>
      </c>
      <c r="E302" s="1">
        <v>200.1</v>
      </c>
      <c r="F302" s="1">
        <v>179.3</v>
      </c>
      <c r="G302" s="1">
        <v>156.1</v>
      </c>
      <c r="H302" s="1">
        <v>190.4</v>
      </c>
      <c r="I302" s="1">
        <v>158.6</v>
      </c>
      <c r="J302" s="1">
        <v>144.69999999999999</v>
      </c>
      <c r="K302" s="1">
        <v>165.5</v>
      </c>
      <c r="L302" s="1">
        <v>114.6</v>
      </c>
      <c r="M302" s="1">
        <v>170</v>
      </c>
      <c r="N302" s="1">
        <v>165.5</v>
      </c>
      <c r="O302" s="1">
        <v>171.7</v>
      </c>
      <c r="P302" s="1">
        <v>160.5</v>
      </c>
      <c r="Q302" s="1">
        <v>189.1</v>
      </c>
      <c r="R302" s="1">
        <v>165.3</v>
      </c>
      <c r="S302" s="1">
        <v>159.9</v>
      </c>
      <c r="T302" s="1">
        <v>164.6</v>
      </c>
      <c r="U302" s="1" t="s">
        <v>32</v>
      </c>
      <c r="V302" s="1">
        <v>162.1</v>
      </c>
      <c r="W302" s="1">
        <v>159.19999999999999</v>
      </c>
      <c r="X302" s="1">
        <v>169.7</v>
      </c>
      <c r="Y302" s="1">
        <v>154.19999999999999</v>
      </c>
      <c r="Z302" s="1">
        <v>160.4</v>
      </c>
      <c r="AA302" s="1">
        <v>166.8</v>
      </c>
      <c r="AB302" s="1">
        <v>159.4</v>
      </c>
      <c r="AC302" s="1">
        <v>161.5</v>
      </c>
      <c r="AD302" s="1">
        <v>162.1</v>
      </c>
    </row>
    <row r="303" spans="1:30" ht="12.5" x14ac:dyDescent="0.25">
      <c r="A303" s="1" t="s">
        <v>33</v>
      </c>
      <c r="B303" s="1">
        <v>2021</v>
      </c>
      <c r="C303" s="1" t="s">
        <v>39</v>
      </c>
      <c r="D303" s="1">
        <v>149.19999999999999</v>
      </c>
      <c r="E303" s="1">
        <v>205.5</v>
      </c>
      <c r="F303" s="1">
        <v>182.8</v>
      </c>
      <c r="G303" s="1">
        <v>156.5</v>
      </c>
      <c r="H303" s="1">
        <v>172.2</v>
      </c>
      <c r="I303" s="1">
        <v>171.5</v>
      </c>
      <c r="J303" s="1">
        <v>176.2</v>
      </c>
      <c r="K303" s="1">
        <v>166.9</v>
      </c>
      <c r="L303" s="1">
        <v>116.1</v>
      </c>
      <c r="M303" s="1">
        <v>165.5</v>
      </c>
      <c r="N303" s="1">
        <v>152.30000000000001</v>
      </c>
      <c r="O303" s="1">
        <v>173.3</v>
      </c>
      <c r="P303" s="1">
        <v>166.2</v>
      </c>
      <c r="Q303" s="1">
        <v>195.6</v>
      </c>
      <c r="R303" s="1">
        <v>157.30000000000001</v>
      </c>
      <c r="S303" s="1">
        <v>140.5</v>
      </c>
      <c r="T303" s="1">
        <v>154.80000000000001</v>
      </c>
      <c r="U303" s="1">
        <v>160.5</v>
      </c>
      <c r="V303" s="1">
        <v>156.1</v>
      </c>
      <c r="W303" s="1">
        <v>149.80000000000001</v>
      </c>
      <c r="X303" s="1">
        <v>160.80000000000001</v>
      </c>
      <c r="Y303" s="1">
        <v>147.5</v>
      </c>
      <c r="Z303" s="1">
        <v>150.69999999999999</v>
      </c>
      <c r="AA303" s="1">
        <v>158.1</v>
      </c>
      <c r="AB303" s="1">
        <v>158</v>
      </c>
      <c r="AC303" s="1">
        <v>153.4</v>
      </c>
      <c r="AD303" s="1">
        <v>160.4</v>
      </c>
    </row>
    <row r="304" spans="1:30" ht="12.5" x14ac:dyDescent="0.25">
      <c r="A304" s="1" t="s">
        <v>34</v>
      </c>
      <c r="B304" s="1">
        <v>2021</v>
      </c>
      <c r="C304" s="1" t="s">
        <v>39</v>
      </c>
      <c r="D304" s="1">
        <v>146.69999999999999</v>
      </c>
      <c r="E304" s="1">
        <v>202</v>
      </c>
      <c r="F304" s="1">
        <v>180.7</v>
      </c>
      <c r="G304" s="1">
        <v>156.19999999999999</v>
      </c>
      <c r="H304" s="1">
        <v>183.7</v>
      </c>
      <c r="I304" s="1">
        <v>164.6</v>
      </c>
      <c r="J304" s="1">
        <v>155.4</v>
      </c>
      <c r="K304" s="1">
        <v>166</v>
      </c>
      <c r="L304" s="1">
        <v>115.1</v>
      </c>
      <c r="M304" s="1">
        <v>168.5</v>
      </c>
      <c r="N304" s="1">
        <v>160</v>
      </c>
      <c r="O304" s="1">
        <v>172.4</v>
      </c>
      <c r="P304" s="1">
        <v>162.6</v>
      </c>
      <c r="Q304" s="1">
        <v>190.8</v>
      </c>
      <c r="R304" s="1">
        <v>162.19999999999999</v>
      </c>
      <c r="S304" s="1">
        <v>151.80000000000001</v>
      </c>
      <c r="T304" s="1">
        <v>160.69999999999999</v>
      </c>
      <c r="U304" s="1">
        <v>160.5</v>
      </c>
      <c r="V304" s="1">
        <v>159.80000000000001</v>
      </c>
      <c r="W304" s="1">
        <v>154.80000000000001</v>
      </c>
      <c r="X304" s="1">
        <v>166.3</v>
      </c>
      <c r="Y304" s="1">
        <v>150.69999999999999</v>
      </c>
      <c r="Z304" s="1">
        <v>154.9</v>
      </c>
      <c r="AA304" s="1">
        <v>161.69999999999999</v>
      </c>
      <c r="AB304" s="1">
        <v>158.80000000000001</v>
      </c>
      <c r="AC304" s="1">
        <v>157.6</v>
      </c>
      <c r="AD304" s="1">
        <v>161.30000000000001</v>
      </c>
    </row>
    <row r="305" spans="1:30" ht="12.5" x14ac:dyDescent="0.25">
      <c r="A305" s="1" t="s">
        <v>30</v>
      </c>
      <c r="B305" s="1">
        <v>2021</v>
      </c>
      <c r="C305" s="1" t="s">
        <v>40</v>
      </c>
      <c r="D305" s="1">
        <v>145.1</v>
      </c>
      <c r="E305" s="1">
        <v>204.5</v>
      </c>
      <c r="F305" s="1">
        <v>180.4</v>
      </c>
      <c r="G305" s="1">
        <v>157.1</v>
      </c>
      <c r="H305" s="1">
        <v>188.7</v>
      </c>
      <c r="I305" s="1">
        <v>157.69999999999999</v>
      </c>
      <c r="J305" s="1">
        <v>152.80000000000001</v>
      </c>
      <c r="K305" s="1">
        <v>163.6</v>
      </c>
      <c r="L305" s="1">
        <v>113.9</v>
      </c>
      <c r="M305" s="1">
        <v>169.7</v>
      </c>
      <c r="N305" s="1">
        <v>166.2</v>
      </c>
      <c r="O305" s="1">
        <v>171</v>
      </c>
      <c r="P305" s="1">
        <v>161.69999999999999</v>
      </c>
      <c r="Q305" s="1">
        <v>189.7</v>
      </c>
      <c r="R305" s="1">
        <v>166</v>
      </c>
      <c r="S305" s="1">
        <v>161.1</v>
      </c>
      <c r="T305" s="1">
        <v>165.3</v>
      </c>
      <c r="U305" s="1" t="s">
        <v>32</v>
      </c>
      <c r="V305" s="1">
        <v>162.5</v>
      </c>
      <c r="W305" s="1">
        <v>160.30000000000001</v>
      </c>
      <c r="X305" s="1">
        <v>170.4</v>
      </c>
      <c r="Y305" s="1">
        <v>157.1</v>
      </c>
      <c r="Z305" s="1">
        <v>160.69999999999999</v>
      </c>
      <c r="AA305" s="1">
        <v>167.2</v>
      </c>
      <c r="AB305" s="1">
        <v>160.4</v>
      </c>
      <c r="AC305" s="1">
        <v>162.80000000000001</v>
      </c>
      <c r="AD305" s="1">
        <v>163.19999999999999</v>
      </c>
    </row>
    <row r="306" spans="1:30" ht="12.5" x14ac:dyDescent="0.25">
      <c r="A306" s="1" t="s">
        <v>33</v>
      </c>
      <c r="B306" s="1">
        <v>2021</v>
      </c>
      <c r="C306" s="1" t="s">
        <v>40</v>
      </c>
      <c r="D306" s="1">
        <v>149.1</v>
      </c>
      <c r="E306" s="1">
        <v>210.9</v>
      </c>
      <c r="F306" s="1">
        <v>185</v>
      </c>
      <c r="G306" s="1">
        <v>158.19999999999999</v>
      </c>
      <c r="H306" s="1">
        <v>170.6</v>
      </c>
      <c r="I306" s="1">
        <v>170.9</v>
      </c>
      <c r="J306" s="1">
        <v>186.4</v>
      </c>
      <c r="K306" s="1">
        <v>164.7</v>
      </c>
      <c r="L306" s="1">
        <v>115.7</v>
      </c>
      <c r="M306" s="1">
        <v>165.5</v>
      </c>
      <c r="N306" s="1">
        <v>153.4</v>
      </c>
      <c r="O306" s="1">
        <v>173.5</v>
      </c>
      <c r="P306" s="1">
        <v>167.9</v>
      </c>
      <c r="Q306" s="1">
        <v>195.5</v>
      </c>
      <c r="R306" s="1">
        <v>157.9</v>
      </c>
      <c r="S306" s="1">
        <v>141.9</v>
      </c>
      <c r="T306" s="1">
        <v>155.5</v>
      </c>
      <c r="U306" s="1">
        <v>161.5</v>
      </c>
      <c r="V306" s="1">
        <v>157.69999999999999</v>
      </c>
      <c r="W306" s="1">
        <v>150.69999999999999</v>
      </c>
      <c r="X306" s="1">
        <v>161.5</v>
      </c>
      <c r="Y306" s="1">
        <v>149.5</v>
      </c>
      <c r="Z306" s="1">
        <v>151.19999999999999</v>
      </c>
      <c r="AA306" s="1">
        <v>160.30000000000001</v>
      </c>
      <c r="AB306" s="1">
        <v>159.6</v>
      </c>
      <c r="AC306" s="1">
        <v>155</v>
      </c>
      <c r="AD306" s="1">
        <v>161.80000000000001</v>
      </c>
    </row>
    <row r="307" spans="1:30" ht="12.5" x14ac:dyDescent="0.25">
      <c r="A307" s="1" t="s">
        <v>34</v>
      </c>
      <c r="B307" s="1">
        <v>2021</v>
      </c>
      <c r="C307" s="1" t="s">
        <v>40</v>
      </c>
      <c r="D307" s="1">
        <v>146.4</v>
      </c>
      <c r="E307" s="1">
        <v>206.8</v>
      </c>
      <c r="F307" s="1">
        <v>182.2</v>
      </c>
      <c r="G307" s="1">
        <v>157.5</v>
      </c>
      <c r="H307" s="1">
        <v>182.1</v>
      </c>
      <c r="I307" s="1">
        <v>163.9</v>
      </c>
      <c r="J307" s="1">
        <v>164.2</v>
      </c>
      <c r="K307" s="1">
        <v>164</v>
      </c>
      <c r="L307" s="1">
        <v>114.5</v>
      </c>
      <c r="M307" s="1">
        <v>168.3</v>
      </c>
      <c r="N307" s="1">
        <v>160.9</v>
      </c>
      <c r="O307" s="1">
        <v>172.2</v>
      </c>
      <c r="P307" s="1">
        <v>164</v>
      </c>
      <c r="Q307" s="1">
        <v>191.2</v>
      </c>
      <c r="R307" s="1">
        <v>162.80000000000001</v>
      </c>
      <c r="S307" s="1">
        <v>153.1</v>
      </c>
      <c r="T307" s="1">
        <v>161.4</v>
      </c>
      <c r="U307" s="1">
        <v>161.5</v>
      </c>
      <c r="V307" s="1">
        <v>160.69999999999999</v>
      </c>
      <c r="W307" s="1">
        <v>155.80000000000001</v>
      </c>
      <c r="X307" s="1">
        <v>167</v>
      </c>
      <c r="Y307" s="1">
        <v>153.1</v>
      </c>
      <c r="Z307" s="1">
        <v>155.30000000000001</v>
      </c>
      <c r="AA307" s="1">
        <v>163.19999999999999</v>
      </c>
      <c r="AB307" s="1">
        <v>160.1</v>
      </c>
      <c r="AC307" s="1">
        <v>159</v>
      </c>
      <c r="AD307" s="1">
        <v>162.5</v>
      </c>
    </row>
    <row r="308" spans="1:30" ht="12.5" x14ac:dyDescent="0.25">
      <c r="A308" s="1" t="s">
        <v>30</v>
      </c>
      <c r="B308" s="1">
        <v>2021</v>
      </c>
      <c r="C308" s="1" t="s">
        <v>41</v>
      </c>
      <c r="D308" s="1">
        <v>144.9</v>
      </c>
      <c r="E308" s="1">
        <v>202.3</v>
      </c>
      <c r="F308" s="1">
        <v>176.5</v>
      </c>
      <c r="G308" s="1">
        <v>157.5</v>
      </c>
      <c r="H308" s="1">
        <v>190.9</v>
      </c>
      <c r="I308" s="1">
        <v>155.69999999999999</v>
      </c>
      <c r="J308" s="1">
        <v>153.9</v>
      </c>
      <c r="K308" s="1">
        <v>162.80000000000001</v>
      </c>
      <c r="L308" s="1">
        <v>115.2</v>
      </c>
      <c r="M308" s="1">
        <v>169.8</v>
      </c>
      <c r="N308" s="1">
        <v>167.6</v>
      </c>
      <c r="O308" s="1">
        <v>171.9</v>
      </c>
      <c r="P308" s="1">
        <v>161.80000000000001</v>
      </c>
      <c r="Q308" s="1">
        <v>190.2</v>
      </c>
      <c r="R308" s="1">
        <v>167</v>
      </c>
      <c r="S308" s="1">
        <v>162.6</v>
      </c>
      <c r="T308" s="1">
        <v>166.3</v>
      </c>
      <c r="U308" s="1" t="s">
        <v>32</v>
      </c>
      <c r="V308" s="1">
        <v>163.1</v>
      </c>
      <c r="W308" s="1">
        <v>160.9</v>
      </c>
      <c r="X308" s="1">
        <v>171.1</v>
      </c>
      <c r="Y308" s="1">
        <v>157.69999999999999</v>
      </c>
      <c r="Z308" s="1">
        <v>161.1</v>
      </c>
      <c r="AA308" s="1">
        <v>167.5</v>
      </c>
      <c r="AB308" s="1">
        <v>160.30000000000001</v>
      </c>
      <c r="AC308" s="1">
        <v>163.30000000000001</v>
      </c>
      <c r="AD308" s="1">
        <v>163.6</v>
      </c>
    </row>
    <row r="309" spans="1:30" ht="12.5" x14ac:dyDescent="0.25">
      <c r="A309" s="1" t="s">
        <v>33</v>
      </c>
      <c r="B309" s="1">
        <v>2021</v>
      </c>
      <c r="C309" s="1" t="s">
        <v>41</v>
      </c>
      <c r="D309" s="1">
        <v>149.30000000000001</v>
      </c>
      <c r="E309" s="1">
        <v>207.4</v>
      </c>
      <c r="F309" s="1">
        <v>174.1</v>
      </c>
      <c r="G309" s="1">
        <v>159.19999999999999</v>
      </c>
      <c r="H309" s="1">
        <v>175</v>
      </c>
      <c r="I309" s="1">
        <v>161.30000000000001</v>
      </c>
      <c r="J309" s="1">
        <v>183.3</v>
      </c>
      <c r="K309" s="1">
        <v>164.5</v>
      </c>
      <c r="L309" s="1">
        <v>120.4</v>
      </c>
      <c r="M309" s="1">
        <v>166.2</v>
      </c>
      <c r="N309" s="1">
        <v>154.80000000000001</v>
      </c>
      <c r="O309" s="1">
        <v>175.1</v>
      </c>
      <c r="P309" s="1">
        <v>167.3</v>
      </c>
      <c r="Q309" s="1">
        <v>196.5</v>
      </c>
      <c r="R309" s="1">
        <v>159.80000000000001</v>
      </c>
      <c r="S309" s="1">
        <v>143.6</v>
      </c>
      <c r="T309" s="1">
        <v>157.30000000000001</v>
      </c>
      <c r="U309" s="1">
        <v>162.1</v>
      </c>
      <c r="V309" s="1">
        <v>160.69999999999999</v>
      </c>
      <c r="W309" s="1">
        <v>153.19999999999999</v>
      </c>
      <c r="X309" s="1">
        <v>162.80000000000001</v>
      </c>
      <c r="Y309" s="1">
        <v>150.4</v>
      </c>
      <c r="Z309" s="1">
        <v>153.69999999999999</v>
      </c>
      <c r="AA309" s="1">
        <v>160.4</v>
      </c>
      <c r="AB309" s="1">
        <v>159.6</v>
      </c>
      <c r="AC309" s="1">
        <v>156</v>
      </c>
      <c r="AD309" s="1">
        <v>162.30000000000001</v>
      </c>
    </row>
    <row r="310" spans="1:30" ht="12.5" x14ac:dyDescent="0.25">
      <c r="A310" s="1" t="s">
        <v>34</v>
      </c>
      <c r="B310" s="1">
        <v>2021</v>
      </c>
      <c r="C310" s="1" t="s">
        <v>41</v>
      </c>
      <c r="D310" s="1">
        <v>146.6</v>
      </c>
      <c r="E310" s="1">
        <v>204</v>
      </c>
      <c r="F310" s="1">
        <v>172.8</v>
      </c>
      <c r="G310" s="1">
        <v>158.4</v>
      </c>
      <c r="H310" s="1">
        <v>188</v>
      </c>
      <c r="I310" s="1">
        <v>156.80000000000001</v>
      </c>
      <c r="J310" s="1">
        <v>162.19999999999999</v>
      </c>
      <c r="K310" s="1">
        <v>164.1</v>
      </c>
      <c r="L310" s="1">
        <v>119.7</v>
      </c>
      <c r="M310" s="1">
        <v>168.8</v>
      </c>
      <c r="N310" s="1">
        <v>162.69999999999999</v>
      </c>
      <c r="O310" s="1">
        <v>173.9</v>
      </c>
      <c r="P310" s="1">
        <v>164</v>
      </c>
      <c r="Q310" s="1">
        <v>192.1</v>
      </c>
      <c r="R310" s="1">
        <v>164.5</v>
      </c>
      <c r="S310" s="1">
        <v>155.30000000000001</v>
      </c>
      <c r="T310" s="1">
        <v>163.19999999999999</v>
      </c>
      <c r="U310" s="1">
        <v>162.1</v>
      </c>
      <c r="V310" s="1">
        <v>162.6</v>
      </c>
      <c r="W310" s="1">
        <v>157.5</v>
      </c>
      <c r="X310" s="1">
        <v>168.4</v>
      </c>
      <c r="Y310" s="1">
        <v>154</v>
      </c>
      <c r="Z310" s="1">
        <v>157.6</v>
      </c>
      <c r="AA310" s="1">
        <v>163.80000000000001</v>
      </c>
      <c r="AB310" s="1">
        <v>160</v>
      </c>
      <c r="AC310" s="1">
        <v>160</v>
      </c>
      <c r="AD310" s="1">
        <v>163.19999999999999</v>
      </c>
    </row>
    <row r="311" spans="1:30" ht="12.5" x14ac:dyDescent="0.25">
      <c r="A311" s="1" t="s">
        <v>30</v>
      </c>
      <c r="B311" s="1">
        <v>2021</v>
      </c>
      <c r="C311" s="1" t="s">
        <v>42</v>
      </c>
      <c r="D311" s="1">
        <v>145.4</v>
      </c>
      <c r="E311" s="1">
        <v>202.1</v>
      </c>
      <c r="F311" s="1">
        <v>172</v>
      </c>
      <c r="G311" s="1">
        <v>158</v>
      </c>
      <c r="H311" s="1">
        <v>195.5</v>
      </c>
      <c r="I311" s="1">
        <v>152.69999999999999</v>
      </c>
      <c r="J311" s="1">
        <v>151.4</v>
      </c>
      <c r="K311" s="1">
        <v>163.9</v>
      </c>
      <c r="L311" s="1">
        <v>119.3</v>
      </c>
      <c r="M311" s="1">
        <v>170.1</v>
      </c>
      <c r="N311" s="1">
        <v>168.3</v>
      </c>
      <c r="O311" s="1">
        <v>172.8</v>
      </c>
      <c r="P311" s="1">
        <v>162.1</v>
      </c>
      <c r="Q311" s="1">
        <v>190.5</v>
      </c>
      <c r="R311" s="1">
        <v>167.7</v>
      </c>
      <c r="S311" s="1">
        <v>163.6</v>
      </c>
      <c r="T311" s="1">
        <v>167.1</v>
      </c>
      <c r="U311" s="1" t="s">
        <v>32</v>
      </c>
      <c r="V311" s="1">
        <v>163.69999999999999</v>
      </c>
      <c r="W311" s="1">
        <v>161.30000000000001</v>
      </c>
      <c r="X311" s="1">
        <v>171.9</v>
      </c>
      <c r="Y311" s="1">
        <v>157.80000000000001</v>
      </c>
      <c r="Z311" s="1">
        <v>162.69999999999999</v>
      </c>
      <c r="AA311" s="1">
        <v>168.5</v>
      </c>
      <c r="AB311" s="1">
        <v>160.19999999999999</v>
      </c>
      <c r="AC311" s="1">
        <v>163.80000000000001</v>
      </c>
      <c r="AD311" s="1">
        <v>164</v>
      </c>
    </row>
    <row r="312" spans="1:30" ht="12.5" x14ac:dyDescent="0.25">
      <c r="A312" s="1" t="s">
        <v>33</v>
      </c>
      <c r="B312" s="1">
        <v>2021</v>
      </c>
      <c r="C312" s="1" t="s">
        <v>42</v>
      </c>
      <c r="D312" s="1">
        <v>149.30000000000001</v>
      </c>
      <c r="E312" s="1">
        <v>207.4</v>
      </c>
      <c r="F312" s="1">
        <v>174.1</v>
      </c>
      <c r="G312" s="1">
        <v>159.1</v>
      </c>
      <c r="H312" s="1">
        <v>175</v>
      </c>
      <c r="I312" s="1">
        <v>161.19999999999999</v>
      </c>
      <c r="J312" s="1">
        <v>183.5</v>
      </c>
      <c r="K312" s="1">
        <v>164.5</v>
      </c>
      <c r="L312" s="1">
        <v>120.4</v>
      </c>
      <c r="M312" s="1">
        <v>166.2</v>
      </c>
      <c r="N312" s="1">
        <v>154.80000000000001</v>
      </c>
      <c r="O312" s="1">
        <v>175.1</v>
      </c>
      <c r="P312" s="1">
        <v>167.3</v>
      </c>
      <c r="Q312" s="1">
        <v>196.5</v>
      </c>
      <c r="R312" s="1">
        <v>159.80000000000001</v>
      </c>
      <c r="S312" s="1">
        <v>143.6</v>
      </c>
      <c r="T312" s="1">
        <v>157.4</v>
      </c>
      <c r="U312" s="1">
        <v>162.1</v>
      </c>
      <c r="V312" s="1">
        <v>160.80000000000001</v>
      </c>
      <c r="W312" s="1">
        <v>153.30000000000001</v>
      </c>
      <c r="X312" s="1">
        <v>162.80000000000001</v>
      </c>
      <c r="Y312" s="1">
        <v>150.5</v>
      </c>
      <c r="Z312" s="1">
        <v>153.9</v>
      </c>
      <c r="AA312" s="1">
        <v>160.30000000000001</v>
      </c>
      <c r="AB312" s="1">
        <v>159.6</v>
      </c>
      <c r="AC312" s="1">
        <v>156</v>
      </c>
      <c r="AD312" s="1">
        <v>162.30000000000001</v>
      </c>
    </row>
    <row r="313" spans="1:30" ht="12.5" x14ac:dyDescent="0.25">
      <c r="A313" s="1" t="s">
        <v>34</v>
      </c>
      <c r="B313" s="1">
        <v>2021</v>
      </c>
      <c r="C313" s="1" t="s">
        <v>42</v>
      </c>
      <c r="D313" s="1">
        <v>146.6</v>
      </c>
      <c r="E313" s="1">
        <v>204</v>
      </c>
      <c r="F313" s="1">
        <v>172.8</v>
      </c>
      <c r="G313" s="1">
        <v>158.4</v>
      </c>
      <c r="H313" s="1">
        <v>188</v>
      </c>
      <c r="I313" s="1">
        <v>156.69999999999999</v>
      </c>
      <c r="J313" s="1">
        <v>162.30000000000001</v>
      </c>
      <c r="K313" s="1">
        <v>164.1</v>
      </c>
      <c r="L313" s="1">
        <v>119.7</v>
      </c>
      <c r="M313" s="1">
        <v>168.8</v>
      </c>
      <c r="N313" s="1">
        <v>162.69999999999999</v>
      </c>
      <c r="O313" s="1">
        <v>173.9</v>
      </c>
      <c r="P313" s="1">
        <v>164</v>
      </c>
      <c r="Q313" s="1">
        <v>192.1</v>
      </c>
      <c r="R313" s="1">
        <v>164.6</v>
      </c>
      <c r="S313" s="1">
        <v>155.30000000000001</v>
      </c>
      <c r="T313" s="1">
        <v>163.30000000000001</v>
      </c>
      <c r="U313" s="1">
        <v>162.1</v>
      </c>
      <c r="V313" s="1">
        <v>162.6</v>
      </c>
      <c r="W313" s="1">
        <v>157.5</v>
      </c>
      <c r="X313" s="1">
        <v>168.4</v>
      </c>
      <c r="Y313" s="1">
        <v>154</v>
      </c>
      <c r="Z313" s="1">
        <v>157.69999999999999</v>
      </c>
      <c r="AA313" s="1">
        <v>163.69999999999999</v>
      </c>
      <c r="AB313" s="1">
        <v>160</v>
      </c>
      <c r="AC313" s="1">
        <v>160</v>
      </c>
      <c r="AD313" s="1">
        <v>163.19999999999999</v>
      </c>
    </row>
    <row r="314" spans="1:30" ht="12.5" x14ac:dyDescent="0.25">
      <c r="A314" s="1" t="s">
        <v>30</v>
      </c>
      <c r="B314" s="1">
        <v>2021</v>
      </c>
      <c r="C314" s="1" t="s">
        <v>43</v>
      </c>
      <c r="D314" s="1">
        <v>146.1</v>
      </c>
      <c r="E314" s="1">
        <v>202.5</v>
      </c>
      <c r="F314" s="1">
        <v>170.1</v>
      </c>
      <c r="G314" s="1">
        <v>158.4</v>
      </c>
      <c r="H314" s="1">
        <v>198.8</v>
      </c>
      <c r="I314" s="1">
        <v>152.6</v>
      </c>
      <c r="J314" s="1">
        <v>170.4</v>
      </c>
      <c r="K314" s="1">
        <v>165.2</v>
      </c>
      <c r="L314" s="1">
        <v>121.6</v>
      </c>
      <c r="M314" s="1">
        <v>170.6</v>
      </c>
      <c r="N314" s="1">
        <v>168.8</v>
      </c>
      <c r="O314" s="1">
        <v>173.6</v>
      </c>
      <c r="P314" s="1">
        <v>165.5</v>
      </c>
      <c r="Q314" s="1">
        <v>191.2</v>
      </c>
      <c r="R314" s="1">
        <v>168.9</v>
      </c>
      <c r="S314" s="1">
        <v>164.8</v>
      </c>
      <c r="T314" s="1">
        <v>168.3</v>
      </c>
      <c r="U314" s="1" t="s">
        <v>32</v>
      </c>
      <c r="V314" s="1">
        <v>165.5</v>
      </c>
      <c r="W314" s="1">
        <v>162</v>
      </c>
      <c r="X314" s="1">
        <v>172.5</v>
      </c>
      <c r="Y314" s="1">
        <v>159.5</v>
      </c>
      <c r="Z314" s="1">
        <v>163.19999999999999</v>
      </c>
      <c r="AA314" s="1">
        <v>169</v>
      </c>
      <c r="AB314" s="1">
        <v>161.1</v>
      </c>
      <c r="AC314" s="1">
        <v>164.7</v>
      </c>
      <c r="AD314" s="1">
        <v>166.3</v>
      </c>
    </row>
    <row r="315" spans="1:30" ht="12.5" x14ac:dyDescent="0.25">
      <c r="A315" s="1" t="s">
        <v>33</v>
      </c>
      <c r="B315" s="1">
        <v>2021</v>
      </c>
      <c r="C315" s="1" t="s">
        <v>43</v>
      </c>
      <c r="D315" s="1">
        <v>150.1</v>
      </c>
      <c r="E315" s="1">
        <v>208.4</v>
      </c>
      <c r="F315" s="1">
        <v>173</v>
      </c>
      <c r="G315" s="1">
        <v>159.19999999999999</v>
      </c>
      <c r="H315" s="1">
        <v>176.6</v>
      </c>
      <c r="I315" s="1">
        <v>159.30000000000001</v>
      </c>
      <c r="J315" s="1">
        <v>214.4</v>
      </c>
      <c r="K315" s="1">
        <v>165.3</v>
      </c>
      <c r="L315" s="1">
        <v>122.5</v>
      </c>
      <c r="M315" s="1">
        <v>166.8</v>
      </c>
      <c r="N315" s="1">
        <v>155.4</v>
      </c>
      <c r="O315" s="1">
        <v>175.9</v>
      </c>
      <c r="P315" s="1">
        <v>171.5</v>
      </c>
      <c r="Q315" s="1">
        <v>197</v>
      </c>
      <c r="R315" s="1">
        <v>160.80000000000001</v>
      </c>
      <c r="S315" s="1">
        <v>144.4</v>
      </c>
      <c r="T315" s="1">
        <v>158.30000000000001</v>
      </c>
      <c r="U315" s="1">
        <v>163.6</v>
      </c>
      <c r="V315" s="1">
        <v>162.19999999999999</v>
      </c>
      <c r="W315" s="1">
        <v>154.30000000000001</v>
      </c>
      <c r="X315" s="1">
        <v>163.5</v>
      </c>
      <c r="Y315" s="1">
        <v>152.19999999999999</v>
      </c>
      <c r="Z315" s="1">
        <v>155.1</v>
      </c>
      <c r="AA315" s="1">
        <v>160.30000000000001</v>
      </c>
      <c r="AB315" s="1">
        <v>160.30000000000001</v>
      </c>
      <c r="AC315" s="1">
        <v>157</v>
      </c>
      <c r="AD315" s="1">
        <v>164.6</v>
      </c>
    </row>
    <row r="316" spans="1:30" ht="12.5" x14ac:dyDescent="0.25">
      <c r="A316" s="1" t="s">
        <v>34</v>
      </c>
      <c r="B316" s="1">
        <v>2021</v>
      </c>
      <c r="C316" s="1" t="s">
        <v>43</v>
      </c>
      <c r="D316" s="1">
        <v>147.4</v>
      </c>
      <c r="E316" s="1">
        <v>204.6</v>
      </c>
      <c r="F316" s="1">
        <v>171.2</v>
      </c>
      <c r="G316" s="1">
        <v>158.69999999999999</v>
      </c>
      <c r="H316" s="1">
        <v>190.6</v>
      </c>
      <c r="I316" s="1">
        <v>155.69999999999999</v>
      </c>
      <c r="J316" s="1">
        <v>185.3</v>
      </c>
      <c r="K316" s="1">
        <v>165.2</v>
      </c>
      <c r="L316" s="1">
        <v>121.9</v>
      </c>
      <c r="M316" s="1">
        <v>169.3</v>
      </c>
      <c r="N316" s="1">
        <v>163.19999999999999</v>
      </c>
      <c r="O316" s="1">
        <v>174.7</v>
      </c>
      <c r="P316" s="1">
        <v>167.7</v>
      </c>
      <c r="Q316" s="1">
        <v>192.7</v>
      </c>
      <c r="R316" s="1">
        <v>165.7</v>
      </c>
      <c r="S316" s="1">
        <v>156.30000000000001</v>
      </c>
      <c r="T316" s="1">
        <v>164.3</v>
      </c>
      <c r="U316" s="1">
        <v>163.6</v>
      </c>
      <c r="V316" s="1">
        <v>164.2</v>
      </c>
      <c r="W316" s="1">
        <v>158.4</v>
      </c>
      <c r="X316" s="1">
        <v>169.1</v>
      </c>
      <c r="Y316" s="1">
        <v>155.69999999999999</v>
      </c>
      <c r="Z316" s="1">
        <v>158.6</v>
      </c>
      <c r="AA316" s="1">
        <v>163.9</v>
      </c>
      <c r="AB316" s="1">
        <v>160.80000000000001</v>
      </c>
      <c r="AC316" s="1">
        <v>161</v>
      </c>
      <c r="AD316" s="1">
        <v>165.5</v>
      </c>
    </row>
    <row r="317" spans="1:30" ht="12.5" x14ac:dyDescent="0.25">
      <c r="A317" s="1" t="s">
        <v>30</v>
      </c>
      <c r="B317" s="1">
        <v>2021</v>
      </c>
      <c r="C317" s="1" t="s">
        <v>44</v>
      </c>
      <c r="D317" s="1">
        <v>146.9</v>
      </c>
      <c r="E317" s="1">
        <v>199.8</v>
      </c>
      <c r="F317" s="1">
        <v>171.5</v>
      </c>
      <c r="G317" s="1">
        <v>159.1</v>
      </c>
      <c r="H317" s="1">
        <v>198.4</v>
      </c>
      <c r="I317" s="1">
        <v>153.19999999999999</v>
      </c>
      <c r="J317" s="1">
        <v>183.9</v>
      </c>
      <c r="K317" s="1">
        <v>165.4</v>
      </c>
      <c r="L317" s="1">
        <v>122.1</v>
      </c>
      <c r="M317" s="1">
        <v>170.8</v>
      </c>
      <c r="N317" s="1">
        <v>169.1</v>
      </c>
      <c r="O317" s="1">
        <v>174.3</v>
      </c>
      <c r="P317" s="1">
        <v>167.5</v>
      </c>
      <c r="Q317" s="1">
        <v>191.4</v>
      </c>
      <c r="R317" s="1">
        <v>170.4</v>
      </c>
      <c r="S317" s="1">
        <v>166</v>
      </c>
      <c r="T317" s="1">
        <v>169.8</v>
      </c>
      <c r="U317" s="1" t="s">
        <v>32</v>
      </c>
      <c r="V317" s="1">
        <v>165.3</v>
      </c>
      <c r="W317" s="1">
        <v>162.9</v>
      </c>
      <c r="X317" s="1">
        <v>173.4</v>
      </c>
      <c r="Y317" s="1">
        <v>158.9</v>
      </c>
      <c r="Z317" s="1">
        <v>163.80000000000001</v>
      </c>
      <c r="AA317" s="1">
        <v>169.3</v>
      </c>
      <c r="AB317" s="1">
        <v>162.4</v>
      </c>
      <c r="AC317" s="1">
        <v>165.2</v>
      </c>
      <c r="AD317" s="1">
        <v>167.6</v>
      </c>
    </row>
    <row r="318" spans="1:30" ht="12.5" x14ac:dyDescent="0.25">
      <c r="A318" s="1" t="s">
        <v>33</v>
      </c>
      <c r="B318" s="1">
        <v>2021</v>
      </c>
      <c r="C318" s="1" t="s">
        <v>44</v>
      </c>
      <c r="D318" s="1">
        <v>151</v>
      </c>
      <c r="E318" s="1">
        <v>204.9</v>
      </c>
      <c r="F318" s="1">
        <v>175.4</v>
      </c>
      <c r="G318" s="1">
        <v>159.6</v>
      </c>
      <c r="H318" s="1">
        <v>175.8</v>
      </c>
      <c r="I318" s="1">
        <v>160.30000000000001</v>
      </c>
      <c r="J318" s="1">
        <v>229.1</v>
      </c>
      <c r="K318" s="1">
        <v>165.1</v>
      </c>
      <c r="L318" s="1">
        <v>123.1</v>
      </c>
      <c r="M318" s="1">
        <v>167.2</v>
      </c>
      <c r="N318" s="1">
        <v>156.1</v>
      </c>
      <c r="O318" s="1">
        <v>176.8</v>
      </c>
      <c r="P318" s="1">
        <v>173.5</v>
      </c>
      <c r="Q318" s="1">
        <v>197</v>
      </c>
      <c r="R318" s="1">
        <v>162.30000000000001</v>
      </c>
      <c r="S318" s="1">
        <v>145.30000000000001</v>
      </c>
      <c r="T318" s="1">
        <v>159.69999999999999</v>
      </c>
      <c r="U318" s="1">
        <v>164.2</v>
      </c>
      <c r="V318" s="1">
        <v>161.6</v>
      </c>
      <c r="W318" s="1">
        <v>155.19999999999999</v>
      </c>
      <c r="X318" s="1">
        <v>164.2</v>
      </c>
      <c r="Y318" s="1">
        <v>151.19999999999999</v>
      </c>
      <c r="Z318" s="1">
        <v>156.69999999999999</v>
      </c>
      <c r="AA318" s="1">
        <v>160.80000000000001</v>
      </c>
      <c r="AB318" s="1">
        <v>161.80000000000001</v>
      </c>
      <c r="AC318" s="1">
        <v>157.30000000000001</v>
      </c>
      <c r="AD318" s="1">
        <v>165.6</v>
      </c>
    </row>
    <row r="319" spans="1:30" ht="12.5" x14ac:dyDescent="0.25">
      <c r="A319" s="1" t="s">
        <v>34</v>
      </c>
      <c r="B319" s="1">
        <v>2021</v>
      </c>
      <c r="C319" s="1" t="s">
        <v>44</v>
      </c>
      <c r="D319" s="1">
        <v>148.19999999999999</v>
      </c>
      <c r="E319" s="1">
        <v>201.6</v>
      </c>
      <c r="F319" s="1">
        <v>173</v>
      </c>
      <c r="G319" s="1">
        <v>159.30000000000001</v>
      </c>
      <c r="H319" s="1">
        <v>190.1</v>
      </c>
      <c r="I319" s="1">
        <v>156.5</v>
      </c>
      <c r="J319" s="1">
        <v>199.2</v>
      </c>
      <c r="K319" s="1">
        <v>165.3</v>
      </c>
      <c r="L319" s="1">
        <v>122.4</v>
      </c>
      <c r="M319" s="1">
        <v>169.6</v>
      </c>
      <c r="N319" s="1">
        <v>163.69999999999999</v>
      </c>
      <c r="O319" s="1">
        <v>175.5</v>
      </c>
      <c r="P319" s="1">
        <v>169.7</v>
      </c>
      <c r="Q319" s="1">
        <v>192.9</v>
      </c>
      <c r="R319" s="1">
        <v>167.2</v>
      </c>
      <c r="S319" s="1">
        <v>157.4</v>
      </c>
      <c r="T319" s="1">
        <v>165.8</v>
      </c>
      <c r="U319" s="1">
        <v>164.2</v>
      </c>
      <c r="V319" s="1">
        <v>163.9</v>
      </c>
      <c r="W319" s="1">
        <v>159.30000000000001</v>
      </c>
      <c r="X319" s="1">
        <v>169.9</v>
      </c>
      <c r="Y319" s="1">
        <v>154.80000000000001</v>
      </c>
      <c r="Z319" s="1">
        <v>159.80000000000001</v>
      </c>
      <c r="AA319" s="1">
        <v>164.3</v>
      </c>
      <c r="AB319" s="1">
        <v>162.19999999999999</v>
      </c>
      <c r="AC319" s="1">
        <v>161.4</v>
      </c>
      <c r="AD319" s="1">
        <v>166.7</v>
      </c>
    </row>
    <row r="320" spans="1:30" ht="12.5" x14ac:dyDescent="0.25">
      <c r="A320" s="1" t="s">
        <v>30</v>
      </c>
      <c r="B320" s="1">
        <v>2021</v>
      </c>
      <c r="C320" s="1" t="s">
        <v>45</v>
      </c>
      <c r="D320" s="1">
        <v>147.4</v>
      </c>
      <c r="E320" s="1">
        <v>197</v>
      </c>
      <c r="F320" s="1">
        <v>176.5</v>
      </c>
      <c r="G320" s="1">
        <v>159.80000000000001</v>
      </c>
      <c r="H320" s="1">
        <v>195.8</v>
      </c>
      <c r="I320" s="1">
        <v>152</v>
      </c>
      <c r="J320" s="1">
        <v>172.3</v>
      </c>
      <c r="K320" s="1">
        <v>164.5</v>
      </c>
      <c r="L320" s="1">
        <v>120.6</v>
      </c>
      <c r="M320" s="1">
        <v>171.7</v>
      </c>
      <c r="N320" s="1">
        <v>169.7</v>
      </c>
      <c r="O320" s="1">
        <v>175.1</v>
      </c>
      <c r="P320" s="1">
        <v>165.8</v>
      </c>
      <c r="Q320" s="1">
        <v>190.8</v>
      </c>
      <c r="R320" s="1">
        <v>171.8</v>
      </c>
      <c r="S320" s="1">
        <v>167.3</v>
      </c>
      <c r="T320" s="1">
        <v>171.2</v>
      </c>
      <c r="U320" s="1" t="s">
        <v>32</v>
      </c>
      <c r="V320" s="1">
        <v>165.6</v>
      </c>
      <c r="W320" s="1">
        <v>163.9</v>
      </c>
      <c r="X320" s="1">
        <v>174</v>
      </c>
      <c r="Y320" s="1">
        <v>160.1</v>
      </c>
      <c r="Z320" s="1">
        <v>164.5</v>
      </c>
      <c r="AA320" s="1">
        <v>169.7</v>
      </c>
      <c r="AB320" s="1">
        <v>162.80000000000001</v>
      </c>
      <c r="AC320" s="1">
        <v>166</v>
      </c>
      <c r="AD320" s="1">
        <v>167</v>
      </c>
    </row>
    <row r="321" spans="1:30" ht="12.5" x14ac:dyDescent="0.25">
      <c r="A321" s="1" t="s">
        <v>33</v>
      </c>
      <c r="B321" s="1">
        <v>2021</v>
      </c>
      <c r="C321" s="1" t="s">
        <v>45</v>
      </c>
      <c r="D321" s="1">
        <v>151.6</v>
      </c>
      <c r="E321" s="1">
        <v>202.2</v>
      </c>
      <c r="F321" s="1">
        <v>180</v>
      </c>
      <c r="G321" s="1">
        <v>160</v>
      </c>
      <c r="H321" s="1">
        <v>173.5</v>
      </c>
      <c r="I321" s="1">
        <v>158.30000000000001</v>
      </c>
      <c r="J321" s="1">
        <v>219.5</v>
      </c>
      <c r="K321" s="1">
        <v>164.2</v>
      </c>
      <c r="L321" s="1">
        <v>121.9</v>
      </c>
      <c r="M321" s="1">
        <v>168.2</v>
      </c>
      <c r="N321" s="1">
        <v>156.5</v>
      </c>
      <c r="O321" s="1">
        <v>178.2</v>
      </c>
      <c r="P321" s="1">
        <v>172.2</v>
      </c>
      <c r="Q321" s="1">
        <v>196.8</v>
      </c>
      <c r="R321" s="1">
        <v>163.30000000000001</v>
      </c>
      <c r="S321" s="1">
        <v>146.69999999999999</v>
      </c>
      <c r="T321" s="1">
        <v>160.69999999999999</v>
      </c>
      <c r="U321" s="1">
        <v>163.4</v>
      </c>
      <c r="V321" s="1">
        <v>161.69999999999999</v>
      </c>
      <c r="W321" s="1">
        <v>156</v>
      </c>
      <c r="X321" s="1">
        <v>165.1</v>
      </c>
      <c r="Y321" s="1">
        <v>151.80000000000001</v>
      </c>
      <c r="Z321" s="1">
        <v>157.6</v>
      </c>
      <c r="AA321" s="1">
        <v>160.6</v>
      </c>
      <c r="AB321" s="1">
        <v>162.4</v>
      </c>
      <c r="AC321" s="1">
        <v>157.80000000000001</v>
      </c>
      <c r="AD321" s="1">
        <v>165.2</v>
      </c>
    </row>
    <row r="322" spans="1:30" ht="12.5" x14ac:dyDescent="0.25">
      <c r="A322" s="1" t="s">
        <v>34</v>
      </c>
      <c r="B322" s="1">
        <v>2021</v>
      </c>
      <c r="C322" s="1" t="s">
        <v>45</v>
      </c>
      <c r="D322" s="1">
        <v>148.69999999999999</v>
      </c>
      <c r="E322" s="1">
        <v>198.8</v>
      </c>
      <c r="F322" s="1">
        <v>177.9</v>
      </c>
      <c r="G322" s="1">
        <v>159.9</v>
      </c>
      <c r="H322" s="1">
        <v>187.6</v>
      </c>
      <c r="I322" s="1">
        <v>154.9</v>
      </c>
      <c r="J322" s="1">
        <v>188.3</v>
      </c>
      <c r="K322" s="1">
        <v>164.4</v>
      </c>
      <c r="L322" s="1">
        <v>121</v>
      </c>
      <c r="M322" s="1">
        <v>170.5</v>
      </c>
      <c r="N322" s="1">
        <v>164.2</v>
      </c>
      <c r="O322" s="1">
        <v>176.5</v>
      </c>
      <c r="P322" s="1">
        <v>168.2</v>
      </c>
      <c r="Q322" s="1">
        <v>192.4</v>
      </c>
      <c r="R322" s="1">
        <v>168.5</v>
      </c>
      <c r="S322" s="1">
        <v>158.69999999999999</v>
      </c>
      <c r="T322" s="1">
        <v>167</v>
      </c>
      <c r="U322" s="1">
        <v>163.4</v>
      </c>
      <c r="V322" s="1">
        <v>164.1</v>
      </c>
      <c r="W322" s="1">
        <v>160.19999999999999</v>
      </c>
      <c r="X322" s="1">
        <v>170.6</v>
      </c>
      <c r="Y322" s="1">
        <v>155.69999999999999</v>
      </c>
      <c r="Z322" s="1">
        <v>160.6</v>
      </c>
      <c r="AA322" s="1">
        <v>164.4</v>
      </c>
      <c r="AB322" s="1">
        <v>162.6</v>
      </c>
      <c r="AC322" s="1">
        <v>162</v>
      </c>
      <c r="AD322" s="1">
        <v>166.2</v>
      </c>
    </row>
    <row r="323" spans="1:30" ht="12.5" x14ac:dyDescent="0.25">
      <c r="A323" s="1" t="s">
        <v>30</v>
      </c>
      <c r="B323" s="1">
        <v>2022</v>
      </c>
      <c r="C323" s="1" t="s">
        <v>31</v>
      </c>
      <c r="D323" s="1">
        <v>148.30000000000001</v>
      </c>
      <c r="E323" s="1">
        <v>196.9</v>
      </c>
      <c r="F323" s="1">
        <v>178</v>
      </c>
      <c r="G323" s="1">
        <v>160.5</v>
      </c>
      <c r="H323" s="1">
        <v>192.6</v>
      </c>
      <c r="I323" s="1">
        <v>151.19999999999999</v>
      </c>
      <c r="J323" s="1">
        <v>159.19999999999999</v>
      </c>
      <c r="K323" s="1">
        <v>164</v>
      </c>
      <c r="L323" s="1">
        <v>119.3</v>
      </c>
      <c r="M323" s="1">
        <v>173.3</v>
      </c>
      <c r="N323" s="1">
        <v>169.8</v>
      </c>
      <c r="O323" s="1">
        <v>175.8</v>
      </c>
      <c r="P323" s="1">
        <v>164.1</v>
      </c>
      <c r="Q323" s="1">
        <v>190.7</v>
      </c>
      <c r="R323" s="1">
        <v>173.2</v>
      </c>
      <c r="S323" s="1">
        <v>169.3</v>
      </c>
      <c r="T323" s="1">
        <v>172.7</v>
      </c>
      <c r="U323" s="1" t="s">
        <v>32</v>
      </c>
      <c r="V323" s="1">
        <v>165.8</v>
      </c>
      <c r="W323" s="1">
        <v>164.9</v>
      </c>
      <c r="X323" s="1">
        <v>174.7</v>
      </c>
      <c r="Y323" s="1">
        <v>160.80000000000001</v>
      </c>
      <c r="Z323" s="1">
        <v>164.9</v>
      </c>
      <c r="AA323" s="1">
        <v>169.9</v>
      </c>
      <c r="AB323" s="1">
        <v>163.19999999999999</v>
      </c>
      <c r="AC323" s="1">
        <v>166.6</v>
      </c>
      <c r="AD323" s="1">
        <v>166.4</v>
      </c>
    </row>
    <row r="324" spans="1:30" ht="12.5" x14ac:dyDescent="0.25">
      <c r="A324" s="1" t="s">
        <v>33</v>
      </c>
      <c r="B324" s="1">
        <v>2022</v>
      </c>
      <c r="C324" s="1" t="s">
        <v>31</v>
      </c>
      <c r="D324" s="1">
        <v>152.19999999999999</v>
      </c>
      <c r="E324" s="1">
        <v>202.1</v>
      </c>
      <c r="F324" s="1">
        <v>180.1</v>
      </c>
      <c r="G324" s="1">
        <v>160.4</v>
      </c>
      <c r="H324" s="1">
        <v>171</v>
      </c>
      <c r="I324" s="1">
        <v>156.5</v>
      </c>
      <c r="J324" s="1">
        <v>203.6</v>
      </c>
      <c r="K324" s="1">
        <v>163.80000000000001</v>
      </c>
      <c r="L324" s="1">
        <v>121.3</v>
      </c>
      <c r="M324" s="1">
        <v>169.8</v>
      </c>
      <c r="N324" s="1">
        <v>156.6</v>
      </c>
      <c r="O324" s="1">
        <v>179</v>
      </c>
      <c r="P324" s="1">
        <v>170.3</v>
      </c>
      <c r="Q324" s="1">
        <v>196.4</v>
      </c>
      <c r="R324" s="1">
        <v>164.7</v>
      </c>
      <c r="S324" s="1">
        <v>148.5</v>
      </c>
      <c r="T324" s="1">
        <v>162.19999999999999</v>
      </c>
      <c r="U324" s="1">
        <v>164.5</v>
      </c>
      <c r="V324" s="1">
        <v>161.6</v>
      </c>
      <c r="W324" s="1">
        <v>156.80000000000001</v>
      </c>
      <c r="X324" s="1">
        <v>166.1</v>
      </c>
      <c r="Y324" s="1">
        <v>152.69999999999999</v>
      </c>
      <c r="Z324" s="1">
        <v>158.4</v>
      </c>
      <c r="AA324" s="1">
        <v>161</v>
      </c>
      <c r="AB324" s="1">
        <v>162.80000000000001</v>
      </c>
      <c r="AC324" s="1">
        <v>158.6</v>
      </c>
      <c r="AD324" s="1">
        <v>165</v>
      </c>
    </row>
    <row r="325" spans="1:30" ht="12.5" x14ac:dyDescent="0.25">
      <c r="A325" s="1" t="s">
        <v>34</v>
      </c>
      <c r="B325" s="1">
        <v>2022</v>
      </c>
      <c r="C325" s="1" t="s">
        <v>31</v>
      </c>
      <c r="D325" s="1">
        <v>149.5</v>
      </c>
      <c r="E325" s="1">
        <v>198.7</v>
      </c>
      <c r="F325" s="1">
        <v>178.8</v>
      </c>
      <c r="G325" s="1">
        <v>160.5</v>
      </c>
      <c r="H325" s="1">
        <v>184.7</v>
      </c>
      <c r="I325" s="1">
        <v>153.69999999999999</v>
      </c>
      <c r="J325" s="1">
        <v>174.3</v>
      </c>
      <c r="K325" s="1">
        <v>163.9</v>
      </c>
      <c r="L325" s="1">
        <v>120</v>
      </c>
      <c r="M325" s="1">
        <v>172.1</v>
      </c>
      <c r="N325" s="1">
        <v>164.3</v>
      </c>
      <c r="O325" s="1">
        <v>177.3</v>
      </c>
      <c r="P325" s="1">
        <v>166.4</v>
      </c>
      <c r="Q325" s="1">
        <v>192.2</v>
      </c>
      <c r="R325" s="1">
        <v>169.9</v>
      </c>
      <c r="S325" s="1">
        <v>160.69999999999999</v>
      </c>
      <c r="T325" s="1">
        <v>168.5</v>
      </c>
      <c r="U325" s="1">
        <v>164.5</v>
      </c>
      <c r="V325" s="1">
        <v>164.2</v>
      </c>
      <c r="W325" s="1">
        <v>161.1</v>
      </c>
      <c r="X325" s="1">
        <v>171.4</v>
      </c>
      <c r="Y325" s="1">
        <v>156.5</v>
      </c>
      <c r="Z325" s="1">
        <v>161.19999999999999</v>
      </c>
      <c r="AA325" s="1">
        <v>164.7</v>
      </c>
      <c r="AB325" s="1">
        <v>163</v>
      </c>
      <c r="AC325" s="1">
        <v>162.69999999999999</v>
      </c>
      <c r="AD325" s="1">
        <v>165.7</v>
      </c>
    </row>
    <row r="326" spans="1:30" ht="12.5" x14ac:dyDescent="0.25">
      <c r="A326" s="1" t="s">
        <v>30</v>
      </c>
      <c r="B326" s="1">
        <v>2022</v>
      </c>
      <c r="C326" s="1" t="s">
        <v>35</v>
      </c>
      <c r="D326" s="1">
        <v>148.80000000000001</v>
      </c>
      <c r="E326" s="1">
        <v>198.1</v>
      </c>
      <c r="F326" s="1">
        <v>175.5</v>
      </c>
      <c r="G326" s="1">
        <v>160.69999999999999</v>
      </c>
      <c r="H326" s="1">
        <v>192.6</v>
      </c>
      <c r="I326" s="1">
        <v>151.4</v>
      </c>
      <c r="J326" s="1">
        <v>155.19999999999999</v>
      </c>
      <c r="K326" s="1">
        <v>163.9</v>
      </c>
      <c r="L326" s="1">
        <v>118.1</v>
      </c>
      <c r="M326" s="1">
        <v>175.4</v>
      </c>
      <c r="N326" s="1">
        <v>170.5</v>
      </c>
      <c r="O326" s="1">
        <v>176.3</v>
      </c>
      <c r="P326" s="1">
        <v>163.9</v>
      </c>
      <c r="Q326" s="1">
        <v>191.5</v>
      </c>
      <c r="R326" s="1">
        <v>174.1</v>
      </c>
      <c r="S326" s="1">
        <v>171</v>
      </c>
      <c r="T326" s="1">
        <v>173.7</v>
      </c>
      <c r="U326" s="1" t="s">
        <v>32</v>
      </c>
      <c r="V326" s="1">
        <v>167.4</v>
      </c>
      <c r="W326" s="1">
        <v>165.7</v>
      </c>
      <c r="X326" s="1">
        <v>175.3</v>
      </c>
      <c r="Y326" s="1">
        <v>161.19999999999999</v>
      </c>
      <c r="Z326" s="1">
        <v>165.5</v>
      </c>
      <c r="AA326" s="1">
        <v>170.3</v>
      </c>
      <c r="AB326" s="1">
        <v>164.5</v>
      </c>
      <c r="AC326" s="1">
        <v>167.3</v>
      </c>
      <c r="AD326" s="1">
        <v>166.7</v>
      </c>
    </row>
    <row r="327" spans="1:30" ht="12.5" x14ac:dyDescent="0.25">
      <c r="A327" s="1" t="s">
        <v>33</v>
      </c>
      <c r="B327" s="1">
        <v>2022</v>
      </c>
      <c r="C327" s="1" t="s">
        <v>35</v>
      </c>
      <c r="D327" s="1">
        <v>152.5</v>
      </c>
      <c r="E327" s="1">
        <v>205.2</v>
      </c>
      <c r="F327" s="1">
        <v>176.4</v>
      </c>
      <c r="G327" s="1">
        <v>160.6</v>
      </c>
      <c r="H327" s="1">
        <v>171.5</v>
      </c>
      <c r="I327" s="1">
        <v>156.4</v>
      </c>
      <c r="J327" s="1">
        <v>198</v>
      </c>
      <c r="K327" s="1">
        <v>163.19999999999999</v>
      </c>
      <c r="L327" s="1">
        <v>120.6</v>
      </c>
      <c r="M327" s="1">
        <v>172.2</v>
      </c>
      <c r="N327" s="1">
        <v>156.69999999999999</v>
      </c>
      <c r="O327" s="1">
        <v>180</v>
      </c>
      <c r="P327" s="1">
        <v>170.2</v>
      </c>
      <c r="Q327" s="1">
        <v>196.5</v>
      </c>
      <c r="R327" s="1">
        <v>165.7</v>
      </c>
      <c r="S327" s="1">
        <v>150.4</v>
      </c>
      <c r="T327" s="1">
        <v>163.4</v>
      </c>
      <c r="U327" s="1">
        <v>165.5</v>
      </c>
      <c r="V327" s="1">
        <v>163</v>
      </c>
      <c r="W327" s="1">
        <v>157.4</v>
      </c>
      <c r="X327" s="1">
        <v>167.2</v>
      </c>
      <c r="Y327" s="1">
        <v>153.1</v>
      </c>
      <c r="Z327" s="1">
        <v>159.5</v>
      </c>
      <c r="AA327" s="1">
        <v>162</v>
      </c>
      <c r="AB327" s="1">
        <v>164.2</v>
      </c>
      <c r="AC327" s="1">
        <v>159.4</v>
      </c>
      <c r="AD327" s="1">
        <v>165.5</v>
      </c>
    </row>
    <row r="328" spans="1:30" ht="12.5" x14ac:dyDescent="0.25">
      <c r="A328" s="1" t="s">
        <v>34</v>
      </c>
      <c r="B328" s="1">
        <v>2022</v>
      </c>
      <c r="C328" s="1" t="s">
        <v>35</v>
      </c>
      <c r="D328" s="1">
        <v>150</v>
      </c>
      <c r="E328" s="1">
        <v>200.6</v>
      </c>
      <c r="F328" s="1">
        <v>175.8</v>
      </c>
      <c r="G328" s="1">
        <v>160.69999999999999</v>
      </c>
      <c r="H328" s="1">
        <v>184.9</v>
      </c>
      <c r="I328" s="1">
        <v>153.69999999999999</v>
      </c>
      <c r="J328" s="1">
        <v>169.7</v>
      </c>
      <c r="K328" s="1">
        <v>163.69999999999999</v>
      </c>
      <c r="L328" s="1">
        <v>118.9</v>
      </c>
      <c r="M328" s="1">
        <v>174.3</v>
      </c>
      <c r="N328" s="1">
        <v>164.7</v>
      </c>
      <c r="O328" s="1">
        <v>178</v>
      </c>
      <c r="P328" s="1">
        <v>166.2</v>
      </c>
      <c r="Q328" s="1">
        <v>192.8</v>
      </c>
      <c r="R328" s="1">
        <v>170.8</v>
      </c>
      <c r="S328" s="1">
        <v>162.4</v>
      </c>
      <c r="T328" s="1">
        <v>169.6</v>
      </c>
      <c r="U328" s="1">
        <v>165.5</v>
      </c>
      <c r="V328" s="1">
        <v>165.7</v>
      </c>
      <c r="W328" s="1">
        <v>161.80000000000001</v>
      </c>
      <c r="X328" s="1">
        <v>172.2</v>
      </c>
      <c r="Y328" s="1">
        <v>156.9</v>
      </c>
      <c r="Z328" s="1">
        <v>162.1</v>
      </c>
      <c r="AA328" s="1">
        <v>165.4</v>
      </c>
      <c r="AB328" s="1">
        <v>164.4</v>
      </c>
      <c r="AC328" s="1">
        <v>163.5</v>
      </c>
      <c r="AD328" s="1">
        <v>166.1</v>
      </c>
    </row>
    <row r="329" spans="1:30" ht="12.5" x14ac:dyDescent="0.25">
      <c r="A329" s="1" t="s">
        <v>30</v>
      </c>
      <c r="B329" s="1">
        <v>2022</v>
      </c>
      <c r="C329" s="1" t="s">
        <v>36</v>
      </c>
      <c r="D329" s="1">
        <v>150.19999999999999</v>
      </c>
      <c r="E329" s="1">
        <v>208</v>
      </c>
      <c r="F329" s="1">
        <v>167.9</v>
      </c>
      <c r="G329" s="1">
        <v>162</v>
      </c>
      <c r="H329" s="1">
        <v>203.1</v>
      </c>
      <c r="I329" s="1">
        <v>155.9</v>
      </c>
      <c r="J329" s="1">
        <v>155.80000000000001</v>
      </c>
      <c r="K329" s="1">
        <v>164.2</v>
      </c>
      <c r="L329" s="1">
        <v>118.1</v>
      </c>
      <c r="M329" s="1">
        <v>178.7</v>
      </c>
      <c r="N329" s="1">
        <v>171.2</v>
      </c>
      <c r="O329" s="1">
        <v>177.4</v>
      </c>
      <c r="P329" s="1">
        <v>166.6</v>
      </c>
      <c r="Q329" s="1">
        <v>192.3</v>
      </c>
      <c r="R329" s="1">
        <v>175.4</v>
      </c>
      <c r="S329" s="1">
        <v>173.2</v>
      </c>
      <c r="T329" s="1">
        <v>175.1</v>
      </c>
      <c r="U329" s="1" t="s">
        <v>32</v>
      </c>
      <c r="V329" s="1">
        <v>168.9</v>
      </c>
      <c r="W329" s="1">
        <v>166.5</v>
      </c>
      <c r="X329" s="1">
        <v>176</v>
      </c>
      <c r="Y329" s="1">
        <v>162</v>
      </c>
      <c r="Z329" s="1">
        <v>166.6</v>
      </c>
      <c r="AA329" s="1">
        <v>170.6</v>
      </c>
      <c r="AB329" s="1">
        <v>167.4</v>
      </c>
      <c r="AC329" s="1">
        <v>168.3</v>
      </c>
      <c r="AD329" s="1">
        <v>168.7</v>
      </c>
    </row>
    <row r="330" spans="1:30" ht="12.5" x14ac:dyDescent="0.25">
      <c r="A330" s="1" t="s">
        <v>33</v>
      </c>
      <c r="B330" s="1">
        <v>2022</v>
      </c>
      <c r="C330" s="1" t="s">
        <v>36</v>
      </c>
      <c r="D330" s="1">
        <v>153.69999999999999</v>
      </c>
      <c r="E330" s="1">
        <v>215.8</v>
      </c>
      <c r="F330" s="1">
        <v>167.7</v>
      </c>
      <c r="G330" s="1">
        <v>162.6</v>
      </c>
      <c r="H330" s="1">
        <v>180</v>
      </c>
      <c r="I330" s="1">
        <v>159.6</v>
      </c>
      <c r="J330" s="1">
        <v>188.4</v>
      </c>
      <c r="K330" s="1">
        <v>163.4</v>
      </c>
      <c r="L330" s="1">
        <v>120.3</v>
      </c>
      <c r="M330" s="1">
        <v>174.7</v>
      </c>
      <c r="N330" s="1">
        <v>157.1</v>
      </c>
      <c r="O330" s="1">
        <v>181.5</v>
      </c>
      <c r="P330" s="1">
        <v>171.5</v>
      </c>
      <c r="Q330" s="1">
        <v>197.5</v>
      </c>
      <c r="R330" s="1">
        <v>167.1</v>
      </c>
      <c r="S330" s="1">
        <v>152.6</v>
      </c>
      <c r="T330" s="1">
        <v>164.9</v>
      </c>
      <c r="U330" s="1">
        <v>165.3</v>
      </c>
      <c r="V330" s="1">
        <v>164.5</v>
      </c>
      <c r="W330" s="1">
        <v>158.6</v>
      </c>
      <c r="X330" s="1">
        <v>168.2</v>
      </c>
      <c r="Y330" s="1">
        <v>154.19999999999999</v>
      </c>
      <c r="Z330" s="1">
        <v>160.80000000000001</v>
      </c>
      <c r="AA330" s="1">
        <v>162.69999999999999</v>
      </c>
      <c r="AB330" s="1">
        <v>166.8</v>
      </c>
      <c r="AC330" s="1">
        <v>160.6</v>
      </c>
      <c r="AD330" s="1">
        <v>166.5</v>
      </c>
    </row>
    <row r="331" spans="1:30" ht="12.5" x14ac:dyDescent="0.25">
      <c r="A331" s="1" t="s">
        <v>34</v>
      </c>
      <c r="B331" s="1">
        <v>2022</v>
      </c>
      <c r="C331" s="1" t="s">
        <v>36</v>
      </c>
      <c r="D331" s="1">
        <v>151.30000000000001</v>
      </c>
      <c r="E331" s="1">
        <v>210.7</v>
      </c>
      <c r="F331" s="1">
        <v>167.8</v>
      </c>
      <c r="G331" s="1">
        <v>162.19999999999999</v>
      </c>
      <c r="H331" s="1">
        <v>194.6</v>
      </c>
      <c r="I331" s="1">
        <v>157.6</v>
      </c>
      <c r="J331" s="1">
        <v>166.9</v>
      </c>
      <c r="K331" s="1">
        <v>163.9</v>
      </c>
      <c r="L331" s="1">
        <v>118.8</v>
      </c>
      <c r="M331" s="1">
        <v>177.4</v>
      </c>
      <c r="N331" s="1">
        <v>165.3</v>
      </c>
      <c r="O331" s="1">
        <v>179.3</v>
      </c>
      <c r="P331" s="1">
        <v>168.4</v>
      </c>
      <c r="Q331" s="1">
        <v>193.7</v>
      </c>
      <c r="R331" s="1">
        <v>172.1</v>
      </c>
      <c r="S331" s="1">
        <v>164.6</v>
      </c>
      <c r="T331" s="1">
        <v>171.1</v>
      </c>
      <c r="U331" s="1">
        <v>165.3</v>
      </c>
      <c r="V331" s="1">
        <v>167.2</v>
      </c>
      <c r="W331" s="1">
        <v>162.80000000000001</v>
      </c>
      <c r="X331" s="1">
        <v>173</v>
      </c>
      <c r="Y331" s="1">
        <v>157.9</v>
      </c>
      <c r="Z331" s="1">
        <v>163.30000000000001</v>
      </c>
      <c r="AA331" s="1">
        <v>166</v>
      </c>
      <c r="AB331" s="1">
        <v>167.2</v>
      </c>
      <c r="AC331" s="1">
        <v>164.6</v>
      </c>
      <c r="AD331" s="1">
        <v>167.7</v>
      </c>
    </row>
    <row r="332" spans="1:30" ht="12.5" x14ac:dyDescent="0.25">
      <c r="A332" s="1" t="s">
        <v>30</v>
      </c>
      <c r="B332" s="1">
        <v>2022</v>
      </c>
      <c r="C332" s="1" t="s">
        <v>37</v>
      </c>
      <c r="D332" s="1">
        <v>151.80000000000001</v>
      </c>
      <c r="E332" s="1">
        <v>209.7</v>
      </c>
      <c r="F332" s="1">
        <v>164.5</v>
      </c>
      <c r="G332" s="1">
        <v>163.80000000000001</v>
      </c>
      <c r="H332" s="1">
        <v>207.4</v>
      </c>
      <c r="I332" s="1">
        <v>169.7</v>
      </c>
      <c r="J332" s="1">
        <v>153.6</v>
      </c>
      <c r="K332" s="1">
        <v>165.1</v>
      </c>
      <c r="L332" s="1">
        <v>118.2</v>
      </c>
      <c r="M332" s="1">
        <v>182.9</v>
      </c>
      <c r="N332" s="1">
        <v>172.4</v>
      </c>
      <c r="O332" s="1">
        <v>178.9</v>
      </c>
      <c r="P332" s="1">
        <v>168.6</v>
      </c>
      <c r="Q332" s="1">
        <v>192.8</v>
      </c>
      <c r="R332" s="1">
        <v>177.5</v>
      </c>
      <c r="S332" s="1">
        <v>175.1</v>
      </c>
      <c r="T332" s="1">
        <v>177.1</v>
      </c>
      <c r="U332" s="1" t="s">
        <v>32</v>
      </c>
      <c r="V332" s="1">
        <v>173.3</v>
      </c>
      <c r="W332" s="1">
        <v>167.7</v>
      </c>
      <c r="X332" s="1">
        <v>177</v>
      </c>
      <c r="Y332" s="1">
        <v>166.2</v>
      </c>
      <c r="Z332" s="1">
        <v>167.2</v>
      </c>
      <c r="AA332" s="1">
        <v>170.9</v>
      </c>
      <c r="AB332" s="1">
        <v>169</v>
      </c>
      <c r="AC332" s="1">
        <v>170.2</v>
      </c>
      <c r="AD332" s="1">
        <v>170.8</v>
      </c>
    </row>
    <row r="333" spans="1:30" ht="12.5" x14ac:dyDescent="0.25">
      <c r="A333" s="1" t="s">
        <v>33</v>
      </c>
      <c r="B333" s="1">
        <v>2022</v>
      </c>
      <c r="C333" s="1" t="s">
        <v>37</v>
      </c>
      <c r="D333" s="1">
        <v>155.4</v>
      </c>
      <c r="E333" s="1">
        <v>215.8</v>
      </c>
      <c r="F333" s="1">
        <v>164.6</v>
      </c>
      <c r="G333" s="1">
        <v>164.2</v>
      </c>
      <c r="H333" s="1">
        <v>186</v>
      </c>
      <c r="I333" s="1">
        <v>175.9</v>
      </c>
      <c r="J333" s="1">
        <v>190.7</v>
      </c>
      <c r="K333" s="1">
        <v>164</v>
      </c>
      <c r="L333" s="1">
        <v>120.5</v>
      </c>
      <c r="M333" s="1">
        <v>178</v>
      </c>
      <c r="N333" s="1">
        <v>157.5</v>
      </c>
      <c r="O333" s="1">
        <v>183.3</v>
      </c>
      <c r="P333" s="1">
        <v>174.5</v>
      </c>
      <c r="Q333" s="1">
        <v>197.1</v>
      </c>
      <c r="R333" s="1">
        <v>168.4</v>
      </c>
      <c r="S333" s="1">
        <v>154.5</v>
      </c>
      <c r="T333" s="1">
        <v>166.3</v>
      </c>
      <c r="U333" s="1">
        <v>167</v>
      </c>
      <c r="V333" s="1">
        <v>170.5</v>
      </c>
      <c r="W333" s="1">
        <v>159.80000000000001</v>
      </c>
      <c r="X333" s="1">
        <v>169</v>
      </c>
      <c r="Y333" s="1">
        <v>159.30000000000001</v>
      </c>
      <c r="Z333" s="1">
        <v>162.19999999999999</v>
      </c>
      <c r="AA333" s="1">
        <v>164</v>
      </c>
      <c r="AB333" s="1">
        <v>168.4</v>
      </c>
      <c r="AC333" s="1">
        <v>163.1</v>
      </c>
      <c r="AD333" s="1">
        <v>169.2</v>
      </c>
    </row>
    <row r="334" spans="1:30" ht="12.5" x14ac:dyDescent="0.25">
      <c r="A334" s="1" t="s">
        <v>34</v>
      </c>
      <c r="B334" s="1">
        <v>2022</v>
      </c>
      <c r="C334" s="1" t="s">
        <v>37</v>
      </c>
      <c r="D334" s="1">
        <v>152.9</v>
      </c>
      <c r="E334" s="1">
        <v>211.8</v>
      </c>
      <c r="F334" s="1">
        <v>164.5</v>
      </c>
      <c r="G334" s="1">
        <v>163.9</v>
      </c>
      <c r="H334" s="1">
        <v>199.5</v>
      </c>
      <c r="I334" s="1">
        <v>172.6</v>
      </c>
      <c r="J334" s="1">
        <v>166.2</v>
      </c>
      <c r="K334" s="1">
        <v>164.7</v>
      </c>
      <c r="L334" s="1">
        <v>119</v>
      </c>
      <c r="M334" s="1">
        <v>181.3</v>
      </c>
      <c r="N334" s="1">
        <v>166.2</v>
      </c>
      <c r="O334" s="1">
        <v>180.9</v>
      </c>
      <c r="P334" s="1">
        <v>170.8</v>
      </c>
      <c r="Q334" s="1">
        <v>193.9</v>
      </c>
      <c r="R334" s="1">
        <v>173.9</v>
      </c>
      <c r="S334" s="1">
        <v>166.5</v>
      </c>
      <c r="T334" s="1">
        <v>172.8</v>
      </c>
      <c r="U334" s="1">
        <v>167</v>
      </c>
      <c r="V334" s="1">
        <v>172.2</v>
      </c>
      <c r="W334" s="1">
        <v>164</v>
      </c>
      <c r="X334" s="1">
        <v>174</v>
      </c>
      <c r="Y334" s="1">
        <v>162.6</v>
      </c>
      <c r="Z334" s="1">
        <v>164.4</v>
      </c>
      <c r="AA334" s="1">
        <v>166.9</v>
      </c>
      <c r="AB334" s="1">
        <v>168.8</v>
      </c>
      <c r="AC334" s="1">
        <v>166.8</v>
      </c>
      <c r="AD334" s="1">
        <v>170.1</v>
      </c>
    </row>
    <row r="335" spans="1:30" ht="12.5" x14ac:dyDescent="0.25">
      <c r="A335" s="1" t="s">
        <v>30</v>
      </c>
      <c r="B335" s="1">
        <v>2022</v>
      </c>
      <c r="C335" s="1" t="s">
        <v>38</v>
      </c>
      <c r="D335" s="1">
        <v>152.9</v>
      </c>
      <c r="E335" s="1">
        <v>214.7</v>
      </c>
      <c r="F335" s="1">
        <v>161.4</v>
      </c>
      <c r="G335" s="1">
        <v>164.6</v>
      </c>
      <c r="H335" s="1">
        <v>209.9</v>
      </c>
      <c r="I335" s="1">
        <v>168</v>
      </c>
      <c r="J335" s="1">
        <v>160.4</v>
      </c>
      <c r="K335" s="1">
        <v>165</v>
      </c>
      <c r="L335" s="1">
        <v>118.9</v>
      </c>
      <c r="M335" s="1">
        <v>186.6</v>
      </c>
      <c r="N335" s="1">
        <v>173.2</v>
      </c>
      <c r="O335" s="1">
        <v>180.4</v>
      </c>
      <c r="P335" s="1">
        <v>170.8</v>
      </c>
      <c r="Q335" s="1">
        <v>192.9</v>
      </c>
      <c r="R335" s="1">
        <v>179.3</v>
      </c>
      <c r="S335" s="1">
        <v>177.2</v>
      </c>
      <c r="T335" s="1">
        <v>179</v>
      </c>
      <c r="U335" s="1" t="s">
        <v>32</v>
      </c>
      <c r="V335" s="1">
        <v>175.3</v>
      </c>
      <c r="W335" s="1">
        <v>168.9</v>
      </c>
      <c r="X335" s="1">
        <v>177.7</v>
      </c>
      <c r="Y335" s="1">
        <v>167.1</v>
      </c>
      <c r="Z335" s="1">
        <v>167.6</v>
      </c>
      <c r="AA335" s="1">
        <v>171.8</v>
      </c>
      <c r="AB335" s="1">
        <v>168.5</v>
      </c>
      <c r="AC335" s="1">
        <v>170.9</v>
      </c>
      <c r="AD335" s="1">
        <v>172.5</v>
      </c>
    </row>
    <row r="336" spans="1:30" ht="12.5" x14ac:dyDescent="0.25">
      <c r="A336" s="1" t="s">
        <v>33</v>
      </c>
      <c r="B336" s="1">
        <v>2022</v>
      </c>
      <c r="C336" s="1" t="s">
        <v>38</v>
      </c>
      <c r="D336" s="1">
        <v>156.69999999999999</v>
      </c>
      <c r="E336" s="1">
        <v>221.2</v>
      </c>
      <c r="F336" s="1">
        <v>164.1</v>
      </c>
      <c r="G336" s="1">
        <v>165.4</v>
      </c>
      <c r="H336" s="1">
        <v>189.5</v>
      </c>
      <c r="I336" s="1">
        <v>174.5</v>
      </c>
      <c r="J336" s="1">
        <v>203.2</v>
      </c>
      <c r="K336" s="1">
        <v>164.1</v>
      </c>
      <c r="L336" s="1">
        <v>121.2</v>
      </c>
      <c r="M336" s="1">
        <v>181.4</v>
      </c>
      <c r="N336" s="1">
        <v>158.5</v>
      </c>
      <c r="O336" s="1">
        <v>184.9</v>
      </c>
      <c r="P336" s="1">
        <v>177.5</v>
      </c>
      <c r="Q336" s="1">
        <v>197.5</v>
      </c>
      <c r="R336" s="1">
        <v>170</v>
      </c>
      <c r="S336" s="1">
        <v>155.9</v>
      </c>
      <c r="T336" s="1">
        <v>167.8</v>
      </c>
      <c r="U336" s="1">
        <v>167.5</v>
      </c>
      <c r="V336" s="1">
        <v>173.5</v>
      </c>
      <c r="W336" s="1">
        <v>161.1</v>
      </c>
      <c r="X336" s="1">
        <v>170.1</v>
      </c>
      <c r="Y336" s="1">
        <v>159.4</v>
      </c>
      <c r="Z336" s="1">
        <v>163.19999999999999</v>
      </c>
      <c r="AA336" s="1">
        <v>165.2</v>
      </c>
      <c r="AB336" s="1">
        <v>168.2</v>
      </c>
      <c r="AC336" s="1">
        <v>163.80000000000001</v>
      </c>
      <c r="AD336" s="1">
        <v>170.8</v>
      </c>
    </row>
    <row r="337" spans="1:30" ht="12.5" x14ac:dyDescent="0.25">
      <c r="A337" s="1" t="s">
        <v>34</v>
      </c>
      <c r="B337" s="1">
        <v>2022</v>
      </c>
      <c r="C337" s="1" t="s">
        <v>38</v>
      </c>
      <c r="D337" s="1">
        <v>154.1</v>
      </c>
      <c r="E337" s="1">
        <v>217</v>
      </c>
      <c r="F337" s="1">
        <v>162.4</v>
      </c>
      <c r="G337" s="1">
        <v>164.9</v>
      </c>
      <c r="H337" s="1">
        <v>202.4</v>
      </c>
      <c r="I337" s="1">
        <v>171</v>
      </c>
      <c r="J337" s="1">
        <v>174.9</v>
      </c>
      <c r="K337" s="1">
        <v>164.7</v>
      </c>
      <c r="L337" s="1">
        <v>119.7</v>
      </c>
      <c r="M337" s="1">
        <v>184.9</v>
      </c>
      <c r="N337" s="1">
        <v>167.1</v>
      </c>
      <c r="O337" s="1">
        <v>182.5</v>
      </c>
      <c r="P337" s="1">
        <v>173.3</v>
      </c>
      <c r="Q337" s="1">
        <v>194.1</v>
      </c>
      <c r="R337" s="1">
        <v>175.6</v>
      </c>
      <c r="S337" s="1">
        <v>168.4</v>
      </c>
      <c r="T337" s="1">
        <v>174.6</v>
      </c>
      <c r="U337" s="1">
        <v>167.5</v>
      </c>
      <c r="V337" s="1">
        <v>174.6</v>
      </c>
      <c r="W337" s="1">
        <v>165.2</v>
      </c>
      <c r="X337" s="1">
        <v>174.8</v>
      </c>
      <c r="Y337" s="1">
        <v>163</v>
      </c>
      <c r="Z337" s="1">
        <v>165.1</v>
      </c>
      <c r="AA337" s="1">
        <v>167.9</v>
      </c>
      <c r="AB337" s="1">
        <v>168.4</v>
      </c>
      <c r="AC337" s="1">
        <v>167.5</v>
      </c>
      <c r="AD337" s="1">
        <v>171.7</v>
      </c>
    </row>
    <row r="338" spans="1:30" ht="12.5" x14ac:dyDescent="0.25">
      <c r="A338" s="1" t="s">
        <v>30</v>
      </c>
      <c r="B338" s="1">
        <v>2022</v>
      </c>
      <c r="C338" s="1" t="s">
        <v>39</v>
      </c>
      <c r="D338" s="1">
        <v>153.80000000000001</v>
      </c>
      <c r="E338" s="1">
        <v>217.2</v>
      </c>
      <c r="F338" s="1">
        <v>169.6</v>
      </c>
      <c r="G338" s="1">
        <v>165.4</v>
      </c>
      <c r="H338" s="1">
        <v>208.1</v>
      </c>
      <c r="I338" s="1">
        <v>165.8</v>
      </c>
      <c r="J338" s="1">
        <v>167.3</v>
      </c>
      <c r="K338" s="1">
        <v>164.6</v>
      </c>
      <c r="L338" s="1">
        <v>119.1</v>
      </c>
      <c r="M338" s="1">
        <v>188.9</v>
      </c>
      <c r="N338" s="1">
        <v>174.2</v>
      </c>
      <c r="O338" s="1">
        <v>181.9</v>
      </c>
      <c r="P338" s="1">
        <v>172.4</v>
      </c>
      <c r="Q338" s="1">
        <v>192.9</v>
      </c>
      <c r="R338" s="1">
        <v>180.7</v>
      </c>
      <c r="S338" s="1">
        <v>178.7</v>
      </c>
      <c r="T338" s="1">
        <v>180.4</v>
      </c>
      <c r="U338" s="1" t="s">
        <v>32</v>
      </c>
      <c r="V338" s="1">
        <v>176.7</v>
      </c>
      <c r="W338" s="1">
        <v>170.3</v>
      </c>
      <c r="X338" s="1">
        <v>178.2</v>
      </c>
      <c r="Y338" s="1">
        <v>165.5</v>
      </c>
      <c r="Z338" s="1">
        <v>168</v>
      </c>
      <c r="AA338" s="1">
        <v>172.6</v>
      </c>
      <c r="AB338" s="1">
        <v>169.5</v>
      </c>
      <c r="AC338" s="1">
        <v>171</v>
      </c>
      <c r="AD338" s="1">
        <v>173.6</v>
      </c>
    </row>
    <row r="339" spans="1:30" ht="12.5" x14ac:dyDescent="0.25">
      <c r="A339" s="1" t="s">
        <v>33</v>
      </c>
      <c r="B339" s="1">
        <v>2022</v>
      </c>
      <c r="C339" s="1" t="s">
        <v>39</v>
      </c>
      <c r="D339" s="1">
        <v>157.5</v>
      </c>
      <c r="E339" s="1">
        <v>223.4</v>
      </c>
      <c r="F339" s="1">
        <v>172.8</v>
      </c>
      <c r="G339" s="1">
        <v>166.4</v>
      </c>
      <c r="H339" s="1">
        <v>188.6</v>
      </c>
      <c r="I339" s="1">
        <v>174.1</v>
      </c>
      <c r="J339" s="1">
        <v>211.5</v>
      </c>
      <c r="K339" s="1">
        <v>163.6</v>
      </c>
      <c r="L339" s="1">
        <v>121.4</v>
      </c>
      <c r="M339" s="1">
        <v>183.5</v>
      </c>
      <c r="N339" s="1">
        <v>159.1</v>
      </c>
      <c r="O339" s="1">
        <v>186.3</v>
      </c>
      <c r="P339" s="1">
        <v>179.3</v>
      </c>
      <c r="Q339" s="1">
        <v>198.3</v>
      </c>
      <c r="R339" s="1">
        <v>171.6</v>
      </c>
      <c r="S339" s="1">
        <v>157.4</v>
      </c>
      <c r="T339" s="1">
        <v>169.4</v>
      </c>
      <c r="U339" s="1">
        <v>166.8</v>
      </c>
      <c r="V339" s="1">
        <v>174.9</v>
      </c>
      <c r="W339" s="1">
        <v>162.1</v>
      </c>
      <c r="X339" s="1">
        <v>170.9</v>
      </c>
      <c r="Y339" s="1">
        <v>157.19999999999999</v>
      </c>
      <c r="Z339" s="1">
        <v>164.1</v>
      </c>
      <c r="AA339" s="1">
        <v>166.5</v>
      </c>
      <c r="AB339" s="1">
        <v>169.2</v>
      </c>
      <c r="AC339" s="1">
        <v>163.80000000000001</v>
      </c>
      <c r="AD339" s="1">
        <v>171.4</v>
      </c>
    </row>
    <row r="340" spans="1:30" ht="12.5" x14ac:dyDescent="0.25">
      <c r="A340" s="1" t="s">
        <v>34</v>
      </c>
      <c r="B340" s="1">
        <v>2022</v>
      </c>
      <c r="C340" s="1" t="s">
        <v>39</v>
      </c>
      <c r="D340" s="1">
        <v>155</v>
      </c>
      <c r="E340" s="1">
        <v>219.4</v>
      </c>
      <c r="F340" s="1">
        <v>170.8</v>
      </c>
      <c r="G340" s="1">
        <v>165.8</v>
      </c>
      <c r="H340" s="1">
        <v>200.9</v>
      </c>
      <c r="I340" s="1">
        <v>169.7</v>
      </c>
      <c r="J340" s="1">
        <v>182.3</v>
      </c>
      <c r="K340" s="1">
        <v>164.3</v>
      </c>
      <c r="L340" s="1">
        <v>119.9</v>
      </c>
      <c r="M340" s="1">
        <v>187.1</v>
      </c>
      <c r="N340" s="1">
        <v>167.9</v>
      </c>
      <c r="O340" s="1">
        <v>183.9</v>
      </c>
      <c r="P340" s="1">
        <v>174.9</v>
      </c>
      <c r="Q340" s="1">
        <v>194.3</v>
      </c>
      <c r="R340" s="1">
        <v>177.1</v>
      </c>
      <c r="S340" s="1">
        <v>169.9</v>
      </c>
      <c r="T340" s="1">
        <v>176</v>
      </c>
      <c r="U340" s="1">
        <v>166.8</v>
      </c>
      <c r="V340" s="1">
        <v>176</v>
      </c>
      <c r="W340" s="1">
        <v>166.4</v>
      </c>
      <c r="X340" s="1">
        <v>175.4</v>
      </c>
      <c r="Y340" s="1">
        <v>161.1</v>
      </c>
      <c r="Z340" s="1">
        <v>165.8</v>
      </c>
      <c r="AA340" s="1">
        <v>169</v>
      </c>
      <c r="AB340" s="1">
        <v>169.4</v>
      </c>
      <c r="AC340" s="1">
        <v>167.5</v>
      </c>
      <c r="AD340" s="1">
        <v>172.6</v>
      </c>
    </row>
    <row r="341" spans="1:30" ht="12.5" x14ac:dyDescent="0.25">
      <c r="A341" s="1" t="s">
        <v>30</v>
      </c>
      <c r="B341" s="1">
        <v>2022</v>
      </c>
      <c r="C341" s="1" t="s">
        <v>40</v>
      </c>
      <c r="D341" s="1">
        <v>155.19999999999999</v>
      </c>
      <c r="E341" s="1">
        <v>210.8</v>
      </c>
      <c r="F341" s="1">
        <v>174.3</v>
      </c>
      <c r="G341" s="1">
        <v>166.3</v>
      </c>
      <c r="H341" s="1">
        <v>202.2</v>
      </c>
      <c r="I341" s="1">
        <v>169.6</v>
      </c>
      <c r="J341" s="1">
        <v>168.6</v>
      </c>
      <c r="K341" s="1">
        <v>164.4</v>
      </c>
      <c r="L341" s="1">
        <v>119.2</v>
      </c>
      <c r="M341" s="1">
        <v>191.8</v>
      </c>
      <c r="N341" s="1">
        <v>174.5</v>
      </c>
      <c r="O341" s="1">
        <v>183.1</v>
      </c>
      <c r="P341" s="1">
        <v>172.5</v>
      </c>
      <c r="Q341" s="1">
        <v>193.2</v>
      </c>
      <c r="R341" s="1">
        <v>182</v>
      </c>
      <c r="S341" s="1">
        <v>180.3</v>
      </c>
      <c r="T341" s="1">
        <v>181.7</v>
      </c>
      <c r="U341" s="1" t="s">
        <v>32</v>
      </c>
      <c r="V341" s="1">
        <v>179.6</v>
      </c>
      <c r="W341" s="1">
        <v>171.3</v>
      </c>
      <c r="X341" s="1">
        <v>178.8</v>
      </c>
      <c r="Y341" s="1">
        <v>166.3</v>
      </c>
      <c r="Z341" s="1">
        <v>168.6</v>
      </c>
      <c r="AA341" s="1">
        <v>174.7</v>
      </c>
      <c r="AB341" s="1">
        <v>169.7</v>
      </c>
      <c r="AC341" s="1">
        <v>171.8</v>
      </c>
      <c r="AD341" s="1">
        <v>174.3</v>
      </c>
    </row>
    <row r="342" spans="1:30" ht="12.5" x14ac:dyDescent="0.25">
      <c r="A342" s="1" t="s">
        <v>33</v>
      </c>
      <c r="B342" s="1">
        <v>2022</v>
      </c>
      <c r="C342" s="1" t="s">
        <v>40</v>
      </c>
      <c r="D342" s="1">
        <v>159.30000000000001</v>
      </c>
      <c r="E342" s="1">
        <v>217.1</v>
      </c>
      <c r="F342" s="1">
        <v>176.6</v>
      </c>
      <c r="G342" s="1">
        <v>167.1</v>
      </c>
      <c r="H342" s="1">
        <v>184.8</v>
      </c>
      <c r="I342" s="1">
        <v>179.5</v>
      </c>
      <c r="J342" s="1">
        <v>208.5</v>
      </c>
      <c r="K342" s="1">
        <v>164</v>
      </c>
      <c r="L342" s="1">
        <v>121.5</v>
      </c>
      <c r="M342" s="1">
        <v>186.3</v>
      </c>
      <c r="N342" s="1">
        <v>159.80000000000001</v>
      </c>
      <c r="O342" s="1">
        <v>187.7</v>
      </c>
      <c r="P342" s="1">
        <v>179.4</v>
      </c>
      <c r="Q342" s="1">
        <v>198.6</v>
      </c>
      <c r="R342" s="1">
        <v>172.7</v>
      </c>
      <c r="S342" s="1">
        <v>158.69999999999999</v>
      </c>
      <c r="T342" s="1">
        <v>170.6</v>
      </c>
      <c r="U342" s="1">
        <v>167.8</v>
      </c>
      <c r="V342" s="1">
        <v>179.5</v>
      </c>
      <c r="W342" s="1">
        <v>163.1</v>
      </c>
      <c r="X342" s="1">
        <v>171.7</v>
      </c>
      <c r="Y342" s="1">
        <v>157.4</v>
      </c>
      <c r="Z342" s="1">
        <v>164.6</v>
      </c>
      <c r="AA342" s="1">
        <v>169.1</v>
      </c>
      <c r="AB342" s="1">
        <v>169.8</v>
      </c>
      <c r="AC342" s="1">
        <v>164.7</v>
      </c>
      <c r="AD342" s="1">
        <v>172.3</v>
      </c>
    </row>
    <row r="343" spans="1:30" ht="12.5" x14ac:dyDescent="0.25">
      <c r="A343" s="1" t="s">
        <v>34</v>
      </c>
      <c r="B343" s="1">
        <v>2022</v>
      </c>
      <c r="C343" s="1" t="s">
        <v>40</v>
      </c>
      <c r="D343" s="1">
        <v>156.5</v>
      </c>
      <c r="E343" s="1">
        <v>213</v>
      </c>
      <c r="F343" s="1">
        <v>175.2</v>
      </c>
      <c r="G343" s="1">
        <v>166.6</v>
      </c>
      <c r="H343" s="1">
        <v>195.8</v>
      </c>
      <c r="I343" s="1">
        <v>174.2</v>
      </c>
      <c r="J343" s="1">
        <v>182.1</v>
      </c>
      <c r="K343" s="1">
        <v>164.3</v>
      </c>
      <c r="L343" s="1">
        <v>120</v>
      </c>
      <c r="M343" s="1">
        <v>190</v>
      </c>
      <c r="N343" s="1">
        <v>168.4</v>
      </c>
      <c r="O343" s="1">
        <v>185.2</v>
      </c>
      <c r="P343" s="1">
        <v>175</v>
      </c>
      <c r="Q343" s="1">
        <v>194.6</v>
      </c>
      <c r="R343" s="1">
        <v>178.3</v>
      </c>
      <c r="S343" s="1">
        <v>171.3</v>
      </c>
      <c r="T343" s="1">
        <v>177.3</v>
      </c>
      <c r="U343" s="1">
        <v>167.8</v>
      </c>
      <c r="V343" s="1">
        <v>179.6</v>
      </c>
      <c r="W343" s="1">
        <v>167.4</v>
      </c>
      <c r="X343" s="1">
        <v>176.1</v>
      </c>
      <c r="Y343" s="1">
        <v>161.6</v>
      </c>
      <c r="Z343" s="1">
        <v>166.3</v>
      </c>
      <c r="AA343" s="1">
        <v>171.4</v>
      </c>
      <c r="AB343" s="1">
        <v>169.7</v>
      </c>
      <c r="AC343" s="1">
        <v>168.4</v>
      </c>
      <c r="AD343" s="1">
        <v>173.4</v>
      </c>
    </row>
    <row r="344" spans="1:30" ht="12.5" x14ac:dyDescent="0.25">
      <c r="A344" s="1" t="s">
        <v>30</v>
      </c>
      <c r="B344" s="1">
        <v>2022</v>
      </c>
      <c r="C344" s="1" t="s">
        <v>41</v>
      </c>
      <c r="D344" s="1">
        <v>159.5</v>
      </c>
      <c r="E344" s="1">
        <v>204.1</v>
      </c>
      <c r="F344" s="1">
        <v>168.3</v>
      </c>
      <c r="G344" s="1">
        <v>167.9</v>
      </c>
      <c r="H344" s="1">
        <v>198.1</v>
      </c>
      <c r="I344" s="1">
        <v>169.2</v>
      </c>
      <c r="J344" s="1">
        <v>173.1</v>
      </c>
      <c r="K344" s="1">
        <v>167.1</v>
      </c>
      <c r="L344" s="1">
        <v>120.2</v>
      </c>
      <c r="M344" s="1">
        <v>195.6</v>
      </c>
      <c r="N344" s="1">
        <v>174.8</v>
      </c>
      <c r="O344" s="1">
        <v>184</v>
      </c>
      <c r="P344" s="1">
        <v>173.9</v>
      </c>
      <c r="Q344" s="1">
        <v>193.7</v>
      </c>
      <c r="R344" s="1">
        <v>183.2</v>
      </c>
      <c r="S344" s="1">
        <v>181.7</v>
      </c>
      <c r="T344" s="1">
        <v>183</v>
      </c>
      <c r="U344" s="1" t="s">
        <v>32</v>
      </c>
      <c r="V344" s="1">
        <v>179.1</v>
      </c>
      <c r="W344" s="1">
        <v>172.3</v>
      </c>
      <c r="X344" s="1">
        <v>179.4</v>
      </c>
      <c r="Y344" s="1">
        <v>166.6</v>
      </c>
      <c r="Z344" s="1">
        <v>169.3</v>
      </c>
      <c r="AA344" s="1">
        <v>175.7</v>
      </c>
      <c r="AB344" s="1">
        <v>171.1</v>
      </c>
      <c r="AC344" s="1">
        <v>172.6</v>
      </c>
      <c r="AD344" s="1">
        <v>175.3</v>
      </c>
    </row>
    <row r="345" spans="1:30" ht="12.5" x14ac:dyDescent="0.25">
      <c r="A345" s="1" t="s">
        <v>33</v>
      </c>
      <c r="B345" s="1">
        <v>2022</v>
      </c>
      <c r="C345" s="1" t="s">
        <v>41</v>
      </c>
      <c r="D345" s="1">
        <v>162.1</v>
      </c>
      <c r="E345" s="1">
        <v>210.9</v>
      </c>
      <c r="F345" s="1">
        <v>170.6</v>
      </c>
      <c r="G345" s="1">
        <v>168.4</v>
      </c>
      <c r="H345" s="1">
        <v>182.5</v>
      </c>
      <c r="I345" s="1">
        <v>177.1</v>
      </c>
      <c r="J345" s="1">
        <v>213.1</v>
      </c>
      <c r="K345" s="1">
        <v>167.3</v>
      </c>
      <c r="L345" s="1">
        <v>122.2</v>
      </c>
      <c r="M345" s="1">
        <v>189.7</v>
      </c>
      <c r="N345" s="1">
        <v>160.5</v>
      </c>
      <c r="O345" s="1">
        <v>188.9</v>
      </c>
      <c r="P345" s="1">
        <v>180.4</v>
      </c>
      <c r="Q345" s="1">
        <v>198.7</v>
      </c>
      <c r="R345" s="1">
        <v>173.7</v>
      </c>
      <c r="S345" s="1">
        <v>160</v>
      </c>
      <c r="T345" s="1">
        <v>171.6</v>
      </c>
      <c r="U345" s="1">
        <v>169</v>
      </c>
      <c r="V345" s="1">
        <v>178.4</v>
      </c>
      <c r="W345" s="1">
        <v>164.2</v>
      </c>
      <c r="X345" s="1">
        <v>172.6</v>
      </c>
      <c r="Y345" s="1">
        <v>157.69999999999999</v>
      </c>
      <c r="Z345" s="1">
        <v>165.1</v>
      </c>
      <c r="AA345" s="1">
        <v>169.9</v>
      </c>
      <c r="AB345" s="1">
        <v>171.4</v>
      </c>
      <c r="AC345" s="1">
        <v>165.4</v>
      </c>
      <c r="AD345" s="1">
        <v>173.1</v>
      </c>
    </row>
    <row r="346" spans="1:30" ht="12.5" x14ac:dyDescent="0.25">
      <c r="A346" s="1" t="s">
        <v>34</v>
      </c>
      <c r="B346" s="1">
        <v>2022</v>
      </c>
      <c r="C346" s="1" t="s">
        <v>41</v>
      </c>
      <c r="D346" s="1">
        <v>160.30000000000001</v>
      </c>
      <c r="E346" s="1">
        <v>206.5</v>
      </c>
      <c r="F346" s="1">
        <v>169.2</v>
      </c>
      <c r="G346" s="1">
        <v>168.1</v>
      </c>
      <c r="H346" s="1">
        <v>192.4</v>
      </c>
      <c r="I346" s="1">
        <v>172.9</v>
      </c>
      <c r="J346" s="1">
        <v>186.7</v>
      </c>
      <c r="K346" s="1">
        <v>167.2</v>
      </c>
      <c r="L346" s="1">
        <v>120.9</v>
      </c>
      <c r="M346" s="1">
        <v>193.6</v>
      </c>
      <c r="N346" s="1">
        <v>168.8</v>
      </c>
      <c r="O346" s="1">
        <v>186.3</v>
      </c>
      <c r="P346" s="1">
        <v>176.3</v>
      </c>
      <c r="Q346" s="1">
        <v>195</v>
      </c>
      <c r="R346" s="1">
        <v>179.5</v>
      </c>
      <c r="S346" s="1">
        <v>172.7</v>
      </c>
      <c r="T346" s="1">
        <v>178.5</v>
      </c>
      <c r="U346" s="1">
        <v>169</v>
      </c>
      <c r="V346" s="1">
        <v>178.8</v>
      </c>
      <c r="W346" s="1">
        <v>168.5</v>
      </c>
      <c r="X346" s="1">
        <v>176.8</v>
      </c>
      <c r="Y346" s="1">
        <v>161.9</v>
      </c>
      <c r="Z346" s="1">
        <v>166.9</v>
      </c>
      <c r="AA346" s="1">
        <v>172.3</v>
      </c>
      <c r="AB346" s="1">
        <v>171.2</v>
      </c>
      <c r="AC346" s="1">
        <v>169.1</v>
      </c>
      <c r="AD346" s="1">
        <v>174.3</v>
      </c>
    </row>
    <row r="347" spans="1:30" ht="12.5" x14ac:dyDescent="0.25">
      <c r="A347" s="1" t="s">
        <v>30</v>
      </c>
      <c r="B347" s="1">
        <v>2022</v>
      </c>
      <c r="C347" s="1" t="s">
        <v>42</v>
      </c>
      <c r="D347" s="1">
        <v>162.9</v>
      </c>
      <c r="E347" s="1">
        <v>206.7</v>
      </c>
      <c r="F347" s="1">
        <v>169</v>
      </c>
      <c r="G347" s="1">
        <v>169.5</v>
      </c>
      <c r="H347" s="1">
        <v>194.1</v>
      </c>
      <c r="I347" s="1">
        <v>164.1</v>
      </c>
      <c r="J347" s="1">
        <v>176.9</v>
      </c>
      <c r="K347" s="1">
        <v>169</v>
      </c>
      <c r="L347" s="1">
        <v>120.8</v>
      </c>
      <c r="M347" s="1">
        <v>199.1</v>
      </c>
      <c r="N347" s="1">
        <v>175.4</v>
      </c>
      <c r="O347" s="1">
        <v>184.8</v>
      </c>
      <c r="P347" s="1">
        <v>175.5</v>
      </c>
      <c r="Q347" s="1">
        <v>194.5</v>
      </c>
      <c r="R347" s="1">
        <v>184.7</v>
      </c>
      <c r="S347" s="1">
        <v>183.3</v>
      </c>
      <c r="T347" s="1">
        <v>184.5</v>
      </c>
      <c r="U347" s="1" t="s">
        <v>32</v>
      </c>
      <c r="V347" s="1">
        <v>179.7</v>
      </c>
      <c r="W347" s="1">
        <v>173.6</v>
      </c>
      <c r="X347" s="1">
        <v>180.2</v>
      </c>
      <c r="Y347" s="1">
        <v>166.9</v>
      </c>
      <c r="Z347" s="1">
        <v>170</v>
      </c>
      <c r="AA347" s="1">
        <v>176.2</v>
      </c>
      <c r="AB347" s="1">
        <v>170.8</v>
      </c>
      <c r="AC347" s="1">
        <v>173.1</v>
      </c>
      <c r="AD347" s="1">
        <v>176.4</v>
      </c>
    </row>
    <row r="348" spans="1:30" ht="12.5" x14ac:dyDescent="0.25">
      <c r="A348" s="1" t="s">
        <v>33</v>
      </c>
      <c r="B348" s="1">
        <v>2022</v>
      </c>
      <c r="C348" s="1" t="s">
        <v>42</v>
      </c>
      <c r="D348" s="1">
        <v>164.9</v>
      </c>
      <c r="E348" s="1">
        <v>213.7</v>
      </c>
      <c r="F348" s="1">
        <v>170.9</v>
      </c>
      <c r="G348" s="1">
        <v>170.1</v>
      </c>
      <c r="H348" s="1">
        <v>179.3</v>
      </c>
      <c r="I348" s="1">
        <v>167.5</v>
      </c>
      <c r="J348" s="1">
        <v>220.8</v>
      </c>
      <c r="K348" s="1">
        <v>169.2</v>
      </c>
      <c r="L348" s="1">
        <v>123.1</v>
      </c>
      <c r="M348" s="1">
        <v>193.6</v>
      </c>
      <c r="N348" s="1">
        <v>161.1</v>
      </c>
      <c r="O348" s="1">
        <v>190.4</v>
      </c>
      <c r="P348" s="1">
        <v>181.8</v>
      </c>
      <c r="Q348" s="1">
        <v>199.7</v>
      </c>
      <c r="R348" s="1">
        <v>175</v>
      </c>
      <c r="S348" s="1">
        <v>161.69999999999999</v>
      </c>
      <c r="T348" s="1">
        <v>173</v>
      </c>
      <c r="U348" s="1">
        <v>169.5</v>
      </c>
      <c r="V348" s="1">
        <v>179.2</v>
      </c>
      <c r="W348" s="1">
        <v>165</v>
      </c>
      <c r="X348" s="1">
        <v>173.8</v>
      </c>
      <c r="Y348" s="1">
        <v>158.19999999999999</v>
      </c>
      <c r="Z348" s="1">
        <v>165.8</v>
      </c>
      <c r="AA348" s="1">
        <v>170.9</v>
      </c>
      <c r="AB348" s="1">
        <v>171.1</v>
      </c>
      <c r="AC348" s="1">
        <v>166.1</v>
      </c>
      <c r="AD348" s="1">
        <v>174.1</v>
      </c>
    </row>
    <row r="349" spans="1:30" ht="12.5" x14ac:dyDescent="0.25">
      <c r="A349" s="1" t="s">
        <v>34</v>
      </c>
      <c r="B349" s="1">
        <v>2022</v>
      </c>
      <c r="C349" s="1" t="s">
        <v>42</v>
      </c>
      <c r="D349" s="1">
        <v>163.5</v>
      </c>
      <c r="E349" s="1">
        <v>209.2</v>
      </c>
      <c r="F349" s="1">
        <v>169.7</v>
      </c>
      <c r="G349" s="1">
        <v>169.7</v>
      </c>
      <c r="H349" s="1">
        <v>188.7</v>
      </c>
      <c r="I349" s="1">
        <v>165.7</v>
      </c>
      <c r="J349" s="1">
        <v>191.8</v>
      </c>
      <c r="K349" s="1">
        <v>169.1</v>
      </c>
      <c r="L349" s="1">
        <v>121.6</v>
      </c>
      <c r="M349" s="1">
        <v>197.3</v>
      </c>
      <c r="N349" s="1">
        <v>169.4</v>
      </c>
      <c r="O349" s="1">
        <v>187.4</v>
      </c>
      <c r="P349" s="1">
        <v>177.8</v>
      </c>
      <c r="Q349" s="1">
        <v>195.9</v>
      </c>
      <c r="R349" s="1">
        <v>180.9</v>
      </c>
      <c r="S349" s="1">
        <v>174.3</v>
      </c>
      <c r="T349" s="1">
        <v>179.9</v>
      </c>
      <c r="U349" s="1">
        <v>169.5</v>
      </c>
      <c r="V349" s="1">
        <v>179.5</v>
      </c>
      <c r="W349" s="1">
        <v>169.5</v>
      </c>
      <c r="X349" s="1">
        <v>177.8</v>
      </c>
      <c r="Y349" s="1">
        <v>162.30000000000001</v>
      </c>
      <c r="Z349" s="1">
        <v>167.6</v>
      </c>
      <c r="AA349" s="1">
        <v>173.1</v>
      </c>
      <c r="AB349" s="1">
        <v>170.9</v>
      </c>
      <c r="AC349" s="1">
        <v>169.7</v>
      </c>
      <c r="AD349" s="1">
        <v>175.3</v>
      </c>
    </row>
    <row r="350" spans="1:30" ht="12.5" x14ac:dyDescent="0.25">
      <c r="A350" s="1" t="s">
        <v>30</v>
      </c>
      <c r="B350" s="1">
        <v>2022</v>
      </c>
      <c r="C350" s="1" t="s">
        <v>43</v>
      </c>
      <c r="D350" s="1">
        <v>164.7</v>
      </c>
      <c r="E350" s="1">
        <v>208.8</v>
      </c>
      <c r="F350" s="1">
        <v>170.3</v>
      </c>
      <c r="G350" s="1">
        <v>170.9</v>
      </c>
      <c r="H350" s="1">
        <v>191.6</v>
      </c>
      <c r="I350" s="1">
        <v>162.19999999999999</v>
      </c>
      <c r="J350" s="1">
        <v>184.8</v>
      </c>
      <c r="K350" s="1">
        <v>169.7</v>
      </c>
      <c r="L350" s="1">
        <v>121.1</v>
      </c>
      <c r="M350" s="1">
        <v>201.6</v>
      </c>
      <c r="N350" s="1">
        <v>175.8</v>
      </c>
      <c r="O350" s="1">
        <v>185.6</v>
      </c>
      <c r="P350" s="1">
        <v>177.4</v>
      </c>
      <c r="Q350" s="1">
        <v>194.9</v>
      </c>
      <c r="R350" s="1">
        <v>186.1</v>
      </c>
      <c r="S350" s="1">
        <v>184.4</v>
      </c>
      <c r="T350" s="1">
        <v>185.9</v>
      </c>
      <c r="U350" s="1" t="s">
        <v>32</v>
      </c>
      <c r="V350" s="1">
        <v>180.8</v>
      </c>
      <c r="W350" s="1">
        <v>174.4</v>
      </c>
      <c r="X350" s="1">
        <v>181.2</v>
      </c>
      <c r="Y350" s="1">
        <v>167.4</v>
      </c>
      <c r="Z350" s="1">
        <v>170.6</v>
      </c>
      <c r="AA350" s="1">
        <v>176.5</v>
      </c>
      <c r="AB350" s="1">
        <v>172</v>
      </c>
      <c r="AC350" s="1">
        <v>173.9</v>
      </c>
      <c r="AD350" s="1">
        <v>177.9</v>
      </c>
    </row>
    <row r="351" spans="1:30" ht="12.5" x14ac:dyDescent="0.25">
      <c r="A351" s="1" t="s">
        <v>33</v>
      </c>
      <c r="B351" s="1">
        <v>2022</v>
      </c>
      <c r="C351" s="1" t="s">
        <v>43</v>
      </c>
      <c r="D351" s="1">
        <v>166.4</v>
      </c>
      <c r="E351" s="1">
        <v>214.9</v>
      </c>
      <c r="F351" s="1">
        <v>171.9</v>
      </c>
      <c r="G351" s="1">
        <v>171</v>
      </c>
      <c r="H351" s="1">
        <v>177.7</v>
      </c>
      <c r="I351" s="1">
        <v>165.7</v>
      </c>
      <c r="J351" s="1">
        <v>228.6</v>
      </c>
      <c r="K351" s="1">
        <v>169.9</v>
      </c>
      <c r="L351" s="1">
        <v>123.4</v>
      </c>
      <c r="M351" s="1">
        <v>196.4</v>
      </c>
      <c r="N351" s="1">
        <v>161.6</v>
      </c>
      <c r="O351" s="1">
        <v>191.5</v>
      </c>
      <c r="P351" s="1">
        <v>183.3</v>
      </c>
      <c r="Q351" s="1">
        <v>200.1</v>
      </c>
      <c r="R351" s="1">
        <v>175.5</v>
      </c>
      <c r="S351" s="1">
        <v>162.6</v>
      </c>
      <c r="T351" s="1">
        <v>173.6</v>
      </c>
      <c r="U351" s="1">
        <v>171.2</v>
      </c>
      <c r="V351" s="1">
        <v>180</v>
      </c>
      <c r="W351" s="1">
        <v>166</v>
      </c>
      <c r="X351" s="1">
        <v>174.7</v>
      </c>
      <c r="Y351" s="1">
        <v>158.80000000000001</v>
      </c>
      <c r="Z351" s="1">
        <v>166.3</v>
      </c>
      <c r="AA351" s="1">
        <v>171.2</v>
      </c>
      <c r="AB351" s="1">
        <v>172.3</v>
      </c>
      <c r="AC351" s="1">
        <v>166.8</v>
      </c>
      <c r="AD351" s="1">
        <v>175.3</v>
      </c>
    </row>
    <row r="352" spans="1:30" ht="12.5" x14ac:dyDescent="0.25">
      <c r="A352" s="1" t="s">
        <v>34</v>
      </c>
      <c r="B352" s="1">
        <v>2022</v>
      </c>
      <c r="C352" s="1" t="s">
        <v>43</v>
      </c>
      <c r="D352" s="1">
        <v>165.2</v>
      </c>
      <c r="E352" s="1">
        <v>210.9</v>
      </c>
      <c r="F352" s="1">
        <v>170.9</v>
      </c>
      <c r="G352" s="1">
        <v>170.9</v>
      </c>
      <c r="H352" s="1">
        <v>186.5</v>
      </c>
      <c r="I352" s="1">
        <v>163.80000000000001</v>
      </c>
      <c r="J352" s="1">
        <v>199.7</v>
      </c>
      <c r="K352" s="1">
        <v>169.8</v>
      </c>
      <c r="L352" s="1">
        <v>121.9</v>
      </c>
      <c r="M352" s="1">
        <v>199.9</v>
      </c>
      <c r="N352" s="1">
        <v>169.9</v>
      </c>
      <c r="O352" s="1">
        <v>188.3</v>
      </c>
      <c r="P352" s="1">
        <v>179.6</v>
      </c>
      <c r="Q352" s="1">
        <v>196.3</v>
      </c>
      <c r="R352" s="1">
        <v>181.9</v>
      </c>
      <c r="S352" s="1">
        <v>175.3</v>
      </c>
      <c r="T352" s="1">
        <v>181</v>
      </c>
      <c r="U352" s="1">
        <v>171.2</v>
      </c>
      <c r="V352" s="1">
        <v>180.5</v>
      </c>
      <c r="W352" s="1">
        <v>170.4</v>
      </c>
      <c r="X352" s="1">
        <v>178.7</v>
      </c>
      <c r="Y352" s="1">
        <v>162.9</v>
      </c>
      <c r="Z352" s="1">
        <v>168.2</v>
      </c>
      <c r="AA352" s="1">
        <v>173.4</v>
      </c>
      <c r="AB352" s="1">
        <v>172.1</v>
      </c>
      <c r="AC352" s="1">
        <v>170.5</v>
      </c>
      <c r="AD352" s="1">
        <v>176.7</v>
      </c>
    </row>
    <row r="353" spans="1:30" ht="12.5" x14ac:dyDescent="0.25">
      <c r="A353" s="1" t="s">
        <v>30</v>
      </c>
      <c r="B353" s="1">
        <v>2022</v>
      </c>
      <c r="C353" s="1" t="s">
        <v>44</v>
      </c>
      <c r="D353" s="1">
        <v>166.9</v>
      </c>
      <c r="E353" s="1">
        <v>207.2</v>
      </c>
      <c r="F353" s="1">
        <v>180.2</v>
      </c>
      <c r="G353" s="1">
        <v>172.3</v>
      </c>
      <c r="H353" s="1">
        <v>194</v>
      </c>
      <c r="I353" s="1">
        <v>159.1</v>
      </c>
      <c r="J353" s="1">
        <v>171.6</v>
      </c>
      <c r="K353" s="1">
        <v>170.2</v>
      </c>
      <c r="L353" s="1">
        <v>121.5</v>
      </c>
      <c r="M353" s="1">
        <v>204.8</v>
      </c>
      <c r="N353" s="1">
        <v>176.4</v>
      </c>
      <c r="O353" s="1">
        <v>186.9</v>
      </c>
      <c r="P353" s="1">
        <v>176.6</v>
      </c>
      <c r="Q353" s="1">
        <v>195.5</v>
      </c>
      <c r="R353" s="1">
        <v>187.2</v>
      </c>
      <c r="S353" s="1">
        <v>185.2</v>
      </c>
      <c r="T353" s="1">
        <v>186.9</v>
      </c>
      <c r="U353" s="1" t="s">
        <v>32</v>
      </c>
      <c r="V353" s="1">
        <v>181.9</v>
      </c>
      <c r="W353" s="1">
        <v>175.5</v>
      </c>
      <c r="X353" s="1">
        <v>182.3</v>
      </c>
      <c r="Y353" s="1">
        <v>167.5</v>
      </c>
      <c r="Z353" s="1">
        <v>170.8</v>
      </c>
      <c r="AA353" s="1">
        <v>176.9</v>
      </c>
      <c r="AB353" s="1">
        <v>173.4</v>
      </c>
      <c r="AC353" s="1">
        <v>174.6</v>
      </c>
      <c r="AD353" s="1">
        <v>177.8</v>
      </c>
    </row>
    <row r="354" spans="1:30" ht="12.5" x14ac:dyDescent="0.25">
      <c r="A354" s="1" t="s">
        <v>33</v>
      </c>
      <c r="B354" s="1">
        <v>2022</v>
      </c>
      <c r="C354" s="1" t="s">
        <v>44</v>
      </c>
      <c r="D354" s="1">
        <v>168.4</v>
      </c>
      <c r="E354" s="1">
        <v>213.4</v>
      </c>
      <c r="F354" s="1">
        <v>183.2</v>
      </c>
      <c r="G354" s="1">
        <v>172.3</v>
      </c>
      <c r="H354" s="1">
        <v>180</v>
      </c>
      <c r="I354" s="1">
        <v>162.6</v>
      </c>
      <c r="J354" s="1">
        <v>205.5</v>
      </c>
      <c r="K354" s="1">
        <v>171</v>
      </c>
      <c r="L354" s="1">
        <v>123.4</v>
      </c>
      <c r="M354" s="1">
        <v>198.8</v>
      </c>
      <c r="N354" s="1">
        <v>162.1</v>
      </c>
      <c r="O354" s="1">
        <v>192.4</v>
      </c>
      <c r="P354" s="1">
        <v>181.3</v>
      </c>
      <c r="Q354" s="1">
        <v>200.6</v>
      </c>
      <c r="R354" s="1">
        <v>176.7</v>
      </c>
      <c r="S354" s="1">
        <v>163.5</v>
      </c>
      <c r="T354" s="1">
        <v>174.7</v>
      </c>
      <c r="U354" s="1">
        <v>171.8</v>
      </c>
      <c r="V354" s="1">
        <v>180.3</v>
      </c>
      <c r="W354" s="1">
        <v>166.9</v>
      </c>
      <c r="X354" s="1">
        <v>175.8</v>
      </c>
      <c r="Y354" s="1">
        <v>158.9</v>
      </c>
      <c r="Z354" s="1">
        <v>166.7</v>
      </c>
      <c r="AA354" s="1">
        <v>171.5</v>
      </c>
      <c r="AB354" s="1">
        <v>173.8</v>
      </c>
      <c r="AC354" s="1">
        <v>167.4</v>
      </c>
      <c r="AD354" s="1">
        <v>174.1</v>
      </c>
    </row>
    <row r="355" spans="1:30" ht="12.5" x14ac:dyDescent="0.25">
      <c r="A355" s="1" t="s">
        <v>34</v>
      </c>
      <c r="B355" s="1">
        <v>2022</v>
      </c>
      <c r="C355" s="1" t="s">
        <v>44</v>
      </c>
      <c r="D355" s="1">
        <v>167.4</v>
      </c>
      <c r="E355" s="1">
        <v>209.4</v>
      </c>
      <c r="F355" s="1">
        <v>181.4</v>
      </c>
      <c r="G355" s="1">
        <v>172.3</v>
      </c>
      <c r="H355" s="1">
        <v>188.9</v>
      </c>
      <c r="I355" s="1">
        <v>160.69999999999999</v>
      </c>
      <c r="J355" s="1">
        <v>183.1</v>
      </c>
      <c r="K355" s="1">
        <v>170.5</v>
      </c>
      <c r="L355" s="1">
        <v>122.1</v>
      </c>
      <c r="M355" s="1">
        <v>202.8</v>
      </c>
      <c r="N355" s="1">
        <v>170.4</v>
      </c>
      <c r="O355" s="1">
        <v>189.5</v>
      </c>
      <c r="P355" s="1">
        <v>178.3</v>
      </c>
      <c r="Q355" s="1">
        <v>196.9</v>
      </c>
      <c r="R355" s="1">
        <v>183.1</v>
      </c>
      <c r="S355" s="1">
        <v>176.2</v>
      </c>
      <c r="T355" s="1">
        <v>182.1</v>
      </c>
      <c r="U355" s="1">
        <v>171.8</v>
      </c>
      <c r="V355" s="1">
        <v>181.3</v>
      </c>
      <c r="W355" s="1">
        <v>171.4</v>
      </c>
      <c r="X355" s="1">
        <v>179.8</v>
      </c>
      <c r="Y355" s="1">
        <v>163</v>
      </c>
      <c r="Z355" s="1">
        <v>168.5</v>
      </c>
      <c r="AA355" s="1">
        <v>173.7</v>
      </c>
      <c r="AB355" s="1">
        <v>173.6</v>
      </c>
      <c r="AC355" s="1">
        <v>171.1</v>
      </c>
      <c r="AD355" s="1">
        <v>176.5</v>
      </c>
    </row>
    <row r="356" spans="1:30" ht="12.5" x14ac:dyDescent="0.25">
      <c r="A356" s="1" t="s">
        <v>30</v>
      </c>
      <c r="B356" s="1">
        <v>2022</v>
      </c>
      <c r="C356" s="1" t="s">
        <v>45</v>
      </c>
      <c r="D356" s="1">
        <v>168.8</v>
      </c>
      <c r="E356" s="1">
        <v>206.9</v>
      </c>
      <c r="F356" s="1">
        <v>189.1</v>
      </c>
      <c r="G356" s="1">
        <v>173.4</v>
      </c>
      <c r="H356" s="1">
        <v>193.9</v>
      </c>
      <c r="I356" s="1">
        <v>156.69999999999999</v>
      </c>
      <c r="J356" s="1">
        <v>150.19999999999999</v>
      </c>
      <c r="K356" s="1">
        <v>170.5</v>
      </c>
      <c r="L356" s="1">
        <v>121.2</v>
      </c>
      <c r="M356" s="1">
        <v>207.5</v>
      </c>
      <c r="N356" s="1">
        <v>176.8</v>
      </c>
      <c r="O356" s="1">
        <v>187.7</v>
      </c>
      <c r="P356" s="1">
        <v>174.4</v>
      </c>
      <c r="Q356" s="1">
        <v>195.9</v>
      </c>
      <c r="R356" s="1">
        <v>188.1</v>
      </c>
      <c r="S356" s="1">
        <v>185.9</v>
      </c>
      <c r="T356" s="1">
        <v>187.8</v>
      </c>
      <c r="U356" s="1" t="s">
        <v>32</v>
      </c>
      <c r="V356" s="1">
        <v>182.8</v>
      </c>
      <c r="W356" s="1">
        <v>176.4</v>
      </c>
      <c r="X356" s="1">
        <v>183.5</v>
      </c>
      <c r="Y356" s="1">
        <v>167.8</v>
      </c>
      <c r="Z356" s="1">
        <v>171.2</v>
      </c>
      <c r="AA356" s="1">
        <v>177.3</v>
      </c>
      <c r="AB356" s="1">
        <v>175.7</v>
      </c>
      <c r="AC356" s="1">
        <v>175.5</v>
      </c>
      <c r="AD356" s="1">
        <v>177.1</v>
      </c>
    </row>
    <row r="357" spans="1:30" ht="12.5" x14ac:dyDescent="0.25">
      <c r="A357" s="1" t="s">
        <v>33</v>
      </c>
      <c r="B357" s="1">
        <v>2022</v>
      </c>
      <c r="C357" s="1" t="s">
        <v>45</v>
      </c>
      <c r="D357" s="1">
        <v>170.2</v>
      </c>
      <c r="E357" s="1">
        <v>212.9</v>
      </c>
      <c r="F357" s="1">
        <v>191.9</v>
      </c>
      <c r="G357" s="1">
        <v>173.9</v>
      </c>
      <c r="H357" s="1">
        <v>179.1</v>
      </c>
      <c r="I357" s="1">
        <v>159.5</v>
      </c>
      <c r="J357" s="1">
        <v>178.7</v>
      </c>
      <c r="K357" s="1">
        <v>171.3</v>
      </c>
      <c r="L357" s="1">
        <v>123.1</v>
      </c>
      <c r="M357" s="1">
        <v>200.5</v>
      </c>
      <c r="N357" s="1">
        <v>162.80000000000001</v>
      </c>
      <c r="O357" s="1">
        <v>193.3</v>
      </c>
      <c r="P357" s="1">
        <v>178.6</v>
      </c>
      <c r="Q357" s="1">
        <v>201.1</v>
      </c>
      <c r="R357" s="1">
        <v>177.7</v>
      </c>
      <c r="S357" s="1">
        <v>164.5</v>
      </c>
      <c r="T357" s="1">
        <v>175.7</v>
      </c>
      <c r="U357" s="1">
        <v>170.7</v>
      </c>
      <c r="V357" s="1">
        <v>180.6</v>
      </c>
      <c r="W357" s="1">
        <v>167.3</v>
      </c>
      <c r="X357" s="1">
        <v>177.2</v>
      </c>
      <c r="Y357" s="1">
        <v>159.4</v>
      </c>
      <c r="Z357" s="1">
        <v>167.1</v>
      </c>
      <c r="AA357" s="1">
        <v>171.8</v>
      </c>
      <c r="AB357" s="1">
        <v>176</v>
      </c>
      <c r="AC357" s="1">
        <v>168.2</v>
      </c>
      <c r="AD357" s="1">
        <v>174.1</v>
      </c>
    </row>
    <row r="358" spans="1:30" ht="12.5" x14ac:dyDescent="0.25">
      <c r="A358" s="1" t="s">
        <v>34</v>
      </c>
      <c r="B358" s="1">
        <v>2022</v>
      </c>
      <c r="C358" s="1" t="s">
        <v>45</v>
      </c>
      <c r="D358" s="1">
        <v>169.2</v>
      </c>
      <c r="E358" s="1">
        <v>209</v>
      </c>
      <c r="F358" s="1">
        <v>190.2</v>
      </c>
      <c r="G358" s="1">
        <v>173.6</v>
      </c>
      <c r="H358" s="1">
        <v>188.5</v>
      </c>
      <c r="I358" s="1">
        <v>158</v>
      </c>
      <c r="J358" s="1">
        <v>159.9</v>
      </c>
      <c r="K358" s="1">
        <v>170.8</v>
      </c>
      <c r="L358" s="1">
        <v>121.8</v>
      </c>
      <c r="M358" s="1">
        <v>205.2</v>
      </c>
      <c r="N358" s="1">
        <v>171</v>
      </c>
      <c r="O358" s="1">
        <v>190.3</v>
      </c>
      <c r="P358" s="1">
        <v>175.9</v>
      </c>
      <c r="Q358" s="1">
        <v>197.3</v>
      </c>
      <c r="R358" s="1">
        <v>184</v>
      </c>
      <c r="S358" s="1">
        <v>177</v>
      </c>
      <c r="T358" s="1">
        <v>183</v>
      </c>
      <c r="U358" s="1">
        <v>170.7</v>
      </c>
      <c r="V358" s="1">
        <v>182</v>
      </c>
      <c r="W358" s="1">
        <v>172.1</v>
      </c>
      <c r="X358" s="1">
        <v>181.1</v>
      </c>
      <c r="Y358" s="1">
        <v>163.4</v>
      </c>
      <c r="Z358" s="1">
        <v>168.9</v>
      </c>
      <c r="AA358" s="1">
        <v>174.1</v>
      </c>
      <c r="AB358" s="1">
        <v>175.8</v>
      </c>
      <c r="AC358" s="1">
        <v>172</v>
      </c>
      <c r="AD358" s="1">
        <v>175.7</v>
      </c>
    </row>
    <row r="359" spans="1:30" ht="12.5" x14ac:dyDescent="0.25">
      <c r="A359" s="1" t="s">
        <v>30</v>
      </c>
      <c r="B359" s="1">
        <v>2023</v>
      </c>
      <c r="C359" s="1" t="s">
        <v>31</v>
      </c>
      <c r="D359" s="1">
        <v>174</v>
      </c>
      <c r="E359" s="1">
        <v>208.3</v>
      </c>
      <c r="F359" s="1">
        <v>192.9</v>
      </c>
      <c r="G359" s="1">
        <v>174.3</v>
      </c>
      <c r="H359" s="1">
        <v>192.6</v>
      </c>
      <c r="I359" s="1">
        <v>156.30000000000001</v>
      </c>
      <c r="J359" s="1">
        <v>142.9</v>
      </c>
      <c r="K359" s="1">
        <v>170.7</v>
      </c>
      <c r="L359" s="1">
        <v>120.3</v>
      </c>
      <c r="M359" s="1">
        <v>210.5</v>
      </c>
      <c r="N359" s="1">
        <v>176.9</v>
      </c>
      <c r="O359" s="1">
        <v>188.5</v>
      </c>
      <c r="P359" s="1">
        <v>175</v>
      </c>
      <c r="Q359" s="1">
        <v>196.9</v>
      </c>
      <c r="R359" s="1">
        <v>189</v>
      </c>
      <c r="S359" s="1">
        <v>186.3</v>
      </c>
      <c r="T359" s="1">
        <v>188.6</v>
      </c>
      <c r="U359" s="1" t="s">
        <v>32</v>
      </c>
      <c r="V359" s="1">
        <v>183.2</v>
      </c>
      <c r="W359" s="1">
        <v>177.2</v>
      </c>
      <c r="X359" s="1">
        <v>184.7</v>
      </c>
      <c r="Y359" s="1">
        <v>168.2</v>
      </c>
      <c r="Z359" s="1">
        <v>171.8</v>
      </c>
      <c r="AA359" s="1">
        <v>177.8</v>
      </c>
      <c r="AB359" s="1">
        <v>178.4</v>
      </c>
      <c r="AC359" s="1">
        <v>176.5</v>
      </c>
      <c r="AD359" s="1">
        <v>177.8</v>
      </c>
    </row>
    <row r="360" spans="1:30" ht="12.5" x14ac:dyDescent="0.25">
      <c r="A360" s="1" t="s">
        <v>33</v>
      </c>
      <c r="B360" s="1">
        <v>2023</v>
      </c>
      <c r="C360" s="1" t="s">
        <v>31</v>
      </c>
      <c r="D360" s="1">
        <v>173.3</v>
      </c>
      <c r="E360" s="1">
        <v>215.2</v>
      </c>
      <c r="F360" s="1">
        <v>197</v>
      </c>
      <c r="G360" s="1">
        <v>175.2</v>
      </c>
      <c r="H360" s="1">
        <v>178</v>
      </c>
      <c r="I360" s="1">
        <v>160.5</v>
      </c>
      <c r="J360" s="1">
        <v>175.3</v>
      </c>
      <c r="K360" s="1">
        <v>171.2</v>
      </c>
      <c r="L360" s="1">
        <v>122.7</v>
      </c>
      <c r="M360" s="1">
        <v>204.3</v>
      </c>
      <c r="N360" s="1">
        <v>163.69999999999999</v>
      </c>
      <c r="O360" s="1">
        <v>194.3</v>
      </c>
      <c r="P360" s="1">
        <v>179.5</v>
      </c>
      <c r="Q360" s="1">
        <v>201.6</v>
      </c>
      <c r="R360" s="1">
        <v>178.7</v>
      </c>
      <c r="S360" s="1">
        <v>165.3</v>
      </c>
      <c r="T360" s="1">
        <v>176.6</v>
      </c>
      <c r="U360" s="1">
        <v>172.1</v>
      </c>
      <c r="V360" s="1">
        <v>180.1</v>
      </c>
      <c r="W360" s="1">
        <v>168</v>
      </c>
      <c r="X360" s="1">
        <v>178.5</v>
      </c>
      <c r="Y360" s="1">
        <v>159.5</v>
      </c>
      <c r="Z360" s="1">
        <v>167.8</v>
      </c>
      <c r="AA360" s="1">
        <v>171.8</v>
      </c>
      <c r="AB360" s="1">
        <v>178.8</v>
      </c>
      <c r="AC360" s="1">
        <v>168.9</v>
      </c>
      <c r="AD360" s="1">
        <v>174.9</v>
      </c>
    </row>
    <row r="361" spans="1:30" ht="12.5" x14ac:dyDescent="0.25">
      <c r="A361" s="1" t="s">
        <v>34</v>
      </c>
      <c r="B361" s="1">
        <v>2023</v>
      </c>
      <c r="C361" s="1" t="s">
        <v>31</v>
      </c>
      <c r="D361" s="1">
        <v>173.8</v>
      </c>
      <c r="E361" s="1">
        <v>210.7</v>
      </c>
      <c r="F361" s="1">
        <v>194.5</v>
      </c>
      <c r="G361" s="1">
        <v>174.6</v>
      </c>
      <c r="H361" s="1">
        <v>187.2</v>
      </c>
      <c r="I361" s="1">
        <v>158.30000000000001</v>
      </c>
      <c r="J361" s="1">
        <v>153.9</v>
      </c>
      <c r="K361" s="1">
        <v>170.9</v>
      </c>
      <c r="L361" s="1">
        <v>121.1</v>
      </c>
      <c r="M361" s="1">
        <v>208.4</v>
      </c>
      <c r="N361" s="1">
        <v>171.4</v>
      </c>
      <c r="O361" s="1">
        <v>191.2</v>
      </c>
      <c r="P361" s="1">
        <v>176.7</v>
      </c>
      <c r="Q361" s="1">
        <v>198.2</v>
      </c>
      <c r="R361" s="1">
        <v>184.9</v>
      </c>
      <c r="S361" s="1">
        <v>177.6</v>
      </c>
      <c r="T361" s="1">
        <v>183.8</v>
      </c>
      <c r="U361" s="1">
        <v>172.1</v>
      </c>
      <c r="V361" s="1">
        <v>182</v>
      </c>
      <c r="W361" s="1">
        <v>172.9</v>
      </c>
      <c r="X361" s="1">
        <v>182.3</v>
      </c>
      <c r="Y361" s="1">
        <v>163.6</v>
      </c>
      <c r="Z361" s="1">
        <v>169.5</v>
      </c>
      <c r="AA361" s="1">
        <v>174.3</v>
      </c>
      <c r="AB361" s="1">
        <v>178.6</v>
      </c>
      <c r="AC361" s="1">
        <v>172.8</v>
      </c>
      <c r="AD361" s="1">
        <v>176.5</v>
      </c>
    </row>
    <row r="362" spans="1:30" ht="12.5" x14ac:dyDescent="0.25">
      <c r="A362" s="1" t="s">
        <v>30</v>
      </c>
      <c r="B362" s="1">
        <v>2023</v>
      </c>
      <c r="C362" s="1" t="s">
        <v>35</v>
      </c>
      <c r="D362" s="1">
        <v>174.2</v>
      </c>
      <c r="E362" s="1">
        <v>205.2</v>
      </c>
      <c r="F362" s="1">
        <v>173.9</v>
      </c>
      <c r="G362" s="1">
        <v>177</v>
      </c>
      <c r="H362" s="1">
        <v>183.4</v>
      </c>
      <c r="I362" s="1">
        <v>167.2</v>
      </c>
      <c r="J362" s="1">
        <v>140.9</v>
      </c>
      <c r="K362" s="1">
        <v>170.4</v>
      </c>
      <c r="L362" s="1">
        <v>119.1</v>
      </c>
      <c r="M362" s="1">
        <v>212.1</v>
      </c>
      <c r="N362" s="1">
        <v>177.6</v>
      </c>
      <c r="O362" s="1">
        <v>189.9</v>
      </c>
      <c r="P362" s="1">
        <v>174.8</v>
      </c>
      <c r="Q362" s="1">
        <v>198.3</v>
      </c>
      <c r="R362" s="1">
        <v>190</v>
      </c>
      <c r="S362" s="1">
        <v>187</v>
      </c>
      <c r="T362" s="1">
        <v>189.6</v>
      </c>
      <c r="U362" s="1" t="s">
        <v>32</v>
      </c>
      <c r="V362" s="1">
        <v>181.6</v>
      </c>
      <c r="W362" s="1">
        <v>178.6</v>
      </c>
      <c r="X362" s="1">
        <v>186.6</v>
      </c>
      <c r="Y362" s="1">
        <v>169</v>
      </c>
      <c r="Z362" s="1">
        <v>172.8</v>
      </c>
      <c r="AA362" s="1">
        <v>178.5</v>
      </c>
      <c r="AB362" s="1">
        <v>180.7</v>
      </c>
      <c r="AC362" s="1">
        <v>177.9</v>
      </c>
      <c r="AD362" s="1">
        <v>178</v>
      </c>
    </row>
    <row r="363" spans="1:30" ht="12.5" x14ac:dyDescent="0.25">
      <c r="A363" s="1" t="s">
        <v>33</v>
      </c>
      <c r="B363" s="1">
        <v>2023</v>
      </c>
      <c r="C363" s="1" t="s">
        <v>35</v>
      </c>
      <c r="D363" s="1">
        <v>174.7</v>
      </c>
      <c r="E363" s="1">
        <v>212.2</v>
      </c>
      <c r="F363" s="1">
        <v>177.2</v>
      </c>
      <c r="G363" s="1">
        <v>177.9</v>
      </c>
      <c r="H363" s="1">
        <v>172.2</v>
      </c>
      <c r="I363" s="1">
        <v>172.1</v>
      </c>
      <c r="J363" s="1">
        <v>175.8</v>
      </c>
      <c r="K363" s="1">
        <v>172.2</v>
      </c>
      <c r="L363" s="1">
        <v>121.9</v>
      </c>
      <c r="M363" s="1">
        <v>204.8</v>
      </c>
      <c r="N363" s="1">
        <v>164.9</v>
      </c>
      <c r="O363" s="1">
        <v>196.6</v>
      </c>
      <c r="P363" s="1">
        <v>180.7</v>
      </c>
      <c r="Q363" s="1">
        <v>202.7</v>
      </c>
      <c r="R363" s="1">
        <v>180.3</v>
      </c>
      <c r="S363" s="1">
        <v>167</v>
      </c>
      <c r="T363" s="1">
        <v>178.2</v>
      </c>
      <c r="U363" s="1">
        <v>173.5</v>
      </c>
      <c r="V363" s="1">
        <v>182.8</v>
      </c>
      <c r="W363" s="1">
        <v>169.2</v>
      </c>
      <c r="X363" s="1">
        <v>180.8</v>
      </c>
      <c r="Y363" s="1">
        <v>159.80000000000001</v>
      </c>
      <c r="Z363" s="1">
        <v>168.4</v>
      </c>
      <c r="AA363" s="1">
        <v>172.5</v>
      </c>
      <c r="AB363" s="1">
        <v>181.4</v>
      </c>
      <c r="AC363" s="1">
        <v>170</v>
      </c>
      <c r="AD363" s="1">
        <v>176.3</v>
      </c>
    </row>
    <row r="364" spans="1:30" ht="12.5" x14ac:dyDescent="0.25">
      <c r="A364" s="1" t="s">
        <v>34</v>
      </c>
      <c r="B364" s="1">
        <v>2023</v>
      </c>
      <c r="C364" s="1" t="s">
        <v>35</v>
      </c>
      <c r="D364" s="1">
        <v>174.4</v>
      </c>
      <c r="E364" s="1">
        <v>207.7</v>
      </c>
      <c r="F364" s="1">
        <v>175.2</v>
      </c>
      <c r="G364" s="1">
        <v>177.3</v>
      </c>
      <c r="H364" s="1">
        <v>179.3</v>
      </c>
      <c r="I364" s="1">
        <v>169.5</v>
      </c>
      <c r="J364" s="1">
        <v>152.69999999999999</v>
      </c>
      <c r="K364" s="1">
        <v>171</v>
      </c>
      <c r="L364" s="1">
        <v>120</v>
      </c>
      <c r="M364" s="1">
        <v>209.7</v>
      </c>
      <c r="N364" s="1">
        <v>172.3</v>
      </c>
      <c r="O364" s="1">
        <v>193</v>
      </c>
      <c r="P364" s="1">
        <v>177</v>
      </c>
      <c r="Q364" s="1">
        <v>199.5</v>
      </c>
      <c r="R364" s="1">
        <v>186.2</v>
      </c>
      <c r="S364" s="1">
        <v>178.7</v>
      </c>
      <c r="T364" s="1">
        <v>185.1</v>
      </c>
      <c r="U364" s="1">
        <v>173.5</v>
      </c>
      <c r="V364" s="1">
        <v>182.1</v>
      </c>
      <c r="W364" s="1">
        <v>174.2</v>
      </c>
      <c r="X364" s="1">
        <v>184.4</v>
      </c>
      <c r="Y364" s="1">
        <v>164.2</v>
      </c>
      <c r="Z364" s="1">
        <v>170.3</v>
      </c>
      <c r="AA364" s="1">
        <v>175</v>
      </c>
      <c r="AB364" s="1">
        <v>181</v>
      </c>
      <c r="AC364" s="1">
        <v>174.1</v>
      </c>
      <c r="AD364" s="1">
        <v>177.2</v>
      </c>
    </row>
    <row r="365" spans="1:30" ht="12.5" x14ac:dyDescent="0.25">
      <c r="A365" s="1" t="s">
        <v>30</v>
      </c>
      <c r="B365" s="1">
        <v>2023</v>
      </c>
      <c r="C365" s="1" t="s">
        <v>36</v>
      </c>
      <c r="D365" s="1">
        <v>174.3</v>
      </c>
      <c r="E365" s="1">
        <v>205.2</v>
      </c>
      <c r="F365" s="1">
        <v>173.9</v>
      </c>
      <c r="G365" s="1">
        <v>177</v>
      </c>
      <c r="H365" s="1">
        <v>183.3</v>
      </c>
      <c r="I365" s="1">
        <v>167.2</v>
      </c>
      <c r="J365" s="1">
        <v>140.9</v>
      </c>
      <c r="K365" s="1">
        <v>170.5</v>
      </c>
      <c r="L365" s="1">
        <v>119.1</v>
      </c>
      <c r="M365" s="1">
        <v>212.1</v>
      </c>
      <c r="N365" s="1">
        <v>177.6</v>
      </c>
      <c r="O365" s="1">
        <v>189.9</v>
      </c>
      <c r="P365" s="1">
        <v>174.8</v>
      </c>
      <c r="Q365" s="1">
        <v>198.4</v>
      </c>
      <c r="R365" s="1">
        <v>190</v>
      </c>
      <c r="S365" s="1">
        <v>187</v>
      </c>
      <c r="T365" s="1">
        <v>189.6</v>
      </c>
      <c r="U365" s="1" t="s">
        <v>32</v>
      </c>
      <c r="V365" s="1">
        <v>181.4</v>
      </c>
      <c r="W365" s="1">
        <v>178.6</v>
      </c>
      <c r="X365" s="1">
        <v>186.6</v>
      </c>
      <c r="Y365" s="1">
        <v>169</v>
      </c>
      <c r="Z365" s="1">
        <v>172.8</v>
      </c>
      <c r="AA365" s="1">
        <v>178.5</v>
      </c>
      <c r="AB365" s="1">
        <v>180.7</v>
      </c>
      <c r="AC365" s="1">
        <v>177.9</v>
      </c>
      <c r="AD365" s="1">
        <v>178</v>
      </c>
    </row>
    <row r="366" spans="1:30" ht="12.5" x14ac:dyDescent="0.25">
      <c r="A366" s="1" t="s">
        <v>33</v>
      </c>
      <c r="B366" s="1">
        <v>2023</v>
      </c>
      <c r="C366" s="1" t="s">
        <v>36</v>
      </c>
      <c r="D366" s="1">
        <v>174.7</v>
      </c>
      <c r="E366" s="1">
        <v>212.2</v>
      </c>
      <c r="F366" s="1">
        <v>177.2</v>
      </c>
      <c r="G366" s="1">
        <v>177.9</v>
      </c>
      <c r="H366" s="1">
        <v>172.2</v>
      </c>
      <c r="I366" s="1">
        <v>172.1</v>
      </c>
      <c r="J366" s="1">
        <v>175.9</v>
      </c>
      <c r="K366" s="1">
        <v>172.2</v>
      </c>
      <c r="L366" s="1">
        <v>121.9</v>
      </c>
      <c r="M366" s="1">
        <v>204.8</v>
      </c>
      <c r="N366" s="1">
        <v>164.9</v>
      </c>
      <c r="O366" s="1">
        <v>196.6</v>
      </c>
      <c r="P366" s="1">
        <v>180.8</v>
      </c>
      <c r="Q366" s="1">
        <v>202.7</v>
      </c>
      <c r="R366" s="1">
        <v>180.2</v>
      </c>
      <c r="S366" s="1">
        <v>167</v>
      </c>
      <c r="T366" s="1">
        <v>178.2</v>
      </c>
      <c r="U366" s="1">
        <v>173.5</v>
      </c>
      <c r="V366" s="1">
        <v>182.6</v>
      </c>
      <c r="W366" s="1">
        <v>169.2</v>
      </c>
      <c r="X366" s="1">
        <v>180.8</v>
      </c>
      <c r="Y366" s="1">
        <v>159.80000000000001</v>
      </c>
      <c r="Z366" s="1">
        <v>168.4</v>
      </c>
      <c r="AA366" s="1">
        <v>172.5</v>
      </c>
      <c r="AB366" s="1">
        <v>181.5</v>
      </c>
      <c r="AC366" s="1">
        <v>170</v>
      </c>
      <c r="AD366" s="1">
        <v>176.3</v>
      </c>
    </row>
    <row r="367" spans="1:30" ht="12.5" x14ac:dyDescent="0.25">
      <c r="A367" s="1" t="s">
        <v>34</v>
      </c>
      <c r="B367" s="1">
        <v>2023</v>
      </c>
      <c r="C367" s="1" t="s">
        <v>36</v>
      </c>
      <c r="D367" s="1">
        <v>174.4</v>
      </c>
      <c r="E367" s="1">
        <v>207.7</v>
      </c>
      <c r="F367" s="1">
        <v>175.2</v>
      </c>
      <c r="G367" s="1">
        <v>177.3</v>
      </c>
      <c r="H367" s="1">
        <v>179.2</v>
      </c>
      <c r="I367" s="1">
        <v>169.5</v>
      </c>
      <c r="J367" s="1">
        <v>152.80000000000001</v>
      </c>
      <c r="K367" s="1">
        <v>171.1</v>
      </c>
      <c r="L367" s="1">
        <v>120</v>
      </c>
      <c r="M367" s="1">
        <v>209.7</v>
      </c>
      <c r="N367" s="1">
        <v>172.3</v>
      </c>
      <c r="O367" s="1">
        <v>193</v>
      </c>
      <c r="P367" s="1">
        <v>177</v>
      </c>
      <c r="Q367" s="1">
        <v>199.5</v>
      </c>
      <c r="R367" s="1">
        <v>186.1</v>
      </c>
      <c r="S367" s="1">
        <v>178.7</v>
      </c>
      <c r="T367" s="1">
        <v>185.1</v>
      </c>
      <c r="U367" s="1">
        <v>173.5</v>
      </c>
      <c r="V367" s="1">
        <v>181.9</v>
      </c>
      <c r="W367" s="1">
        <v>174.2</v>
      </c>
      <c r="X367" s="1">
        <v>184.4</v>
      </c>
      <c r="Y367" s="1">
        <v>164.2</v>
      </c>
      <c r="Z367" s="1">
        <v>170.3</v>
      </c>
      <c r="AA367" s="1">
        <v>175</v>
      </c>
      <c r="AB367" s="1">
        <v>181</v>
      </c>
      <c r="AC367" s="1">
        <v>174.1</v>
      </c>
      <c r="AD367" s="1">
        <v>177.2</v>
      </c>
    </row>
    <row r="368" spans="1:30" ht="12.5" x14ac:dyDescent="0.25">
      <c r="A368" s="1" t="s">
        <v>30</v>
      </c>
      <c r="B368" s="1">
        <v>2023</v>
      </c>
      <c r="C368" s="1" t="s">
        <v>37</v>
      </c>
      <c r="D368" s="1">
        <v>173.3</v>
      </c>
      <c r="E368" s="1">
        <v>206.9</v>
      </c>
      <c r="F368" s="1">
        <v>167.9</v>
      </c>
      <c r="G368" s="1">
        <v>178.2</v>
      </c>
      <c r="H368" s="1">
        <v>178.5</v>
      </c>
      <c r="I368" s="1">
        <v>173.7</v>
      </c>
      <c r="J368" s="1">
        <v>142.80000000000001</v>
      </c>
      <c r="K368" s="1">
        <v>172.8</v>
      </c>
      <c r="L368" s="1">
        <v>120.4</v>
      </c>
      <c r="M368" s="1">
        <v>215.5</v>
      </c>
      <c r="N368" s="1">
        <v>178.2</v>
      </c>
      <c r="O368" s="1">
        <v>190.5</v>
      </c>
      <c r="P368" s="1">
        <v>175.5</v>
      </c>
      <c r="Q368" s="1">
        <v>199.5</v>
      </c>
      <c r="R368" s="1">
        <v>190.7</v>
      </c>
      <c r="S368" s="1">
        <v>187.3</v>
      </c>
      <c r="T368" s="1">
        <v>190.2</v>
      </c>
      <c r="U368" s="1" t="s">
        <v>47</v>
      </c>
      <c r="V368" s="1">
        <v>181.5</v>
      </c>
      <c r="W368" s="1">
        <v>179.1</v>
      </c>
      <c r="X368" s="1">
        <v>187.2</v>
      </c>
      <c r="Y368" s="1">
        <v>169.4</v>
      </c>
      <c r="Z368" s="1">
        <v>173.2</v>
      </c>
      <c r="AA368" s="1">
        <v>179.4</v>
      </c>
      <c r="AB368" s="1">
        <v>183.8</v>
      </c>
      <c r="AC368" s="1">
        <v>178.9</v>
      </c>
      <c r="AD368" s="1">
        <v>178.8</v>
      </c>
    </row>
    <row r="369" spans="1:30" ht="12.5" x14ac:dyDescent="0.25">
      <c r="A369" s="1" t="s">
        <v>33</v>
      </c>
      <c r="B369" s="1">
        <v>2023</v>
      </c>
      <c r="C369" s="1" t="s">
        <v>37</v>
      </c>
      <c r="D369" s="1">
        <v>174.8</v>
      </c>
      <c r="E369" s="1">
        <v>213.7</v>
      </c>
      <c r="F369" s="1">
        <v>172.4</v>
      </c>
      <c r="G369" s="1">
        <v>178.8</v>
      </c>
      <c r="H369" s="1">
        <v>168.7</v>
      </c>
      <c r="I369" s="1">
        <v>179.2</v>
      </c>
      <c r="J369" s="1">
        <v>179.9</v>
      </c>
      <c r="K369" s="1">
        <v>174.7</v>
      </c>
      <c r="L369" s="1">
        <v>123.1</v>
      </c>
      <c r="M369" s="1">
        <v>207.8</v>
      </c>
      <c r="N369" s="1">
        <v>165.5</v>
      </c>
      <c r="O369" s="1">
        <v>197</v>
      </c>
      <c r="P369" s="1">
        <v>182.1</v>
      </c>
      <c r="Q369" s="1">
        <v>203.5</v>
      </c>
      <c r="R369" s="1">
        <v>181</v>
      </c>
      <c r="S369" s="1">
        <v>167.7</v>
      </c>
      <c r="T369" s="1">
        <v>178.9</v>
      </c>
      <c r="U369" s="1">
        <v>175.2</v>
      </c>
      <c r="V369" s="1">
        <v>182.1</v>
      </c>
      <c r="W369" s="1">
        <v>169.6</v>
      </c>
      <c r="X369" s="1">
        <v>181.5</v>
      </c>
      <c r="Y369" s="1">
        <v>160.1</v>
      </c>
      <c r="Z369" s="1">
        <v>168.8</v>
      </c>
      <c r="AA369" s="1">
        <v>174.2</v>
      </c>
      <c r="AB369" s="1">
        <v>184.4</v>
      </c>
      <c r="AC369" s="1">
        <v>170.9</v>
      </c>
      <c r="AD369" s="1">
        <v>177.4</v>
      </c>
    </row>
    <row r="370" spans="1:30" ht="12.5" x14ac:dyDescent="0.25">
      <c r="A370" s="1" t="s">
        <v>34</v>
      </c>
      <c r="B370" s="1">
        <v>2023</v>
      </c>
      <c r="C370" s="1" t="s">
        <v>37</v>
      </c>
      <c r="D370" s="1">
        <v>173.8</v>
      </c>
      <c r="E370" s="1">
        <v>209.3</v>
      </c>
      <c r="F370" s="1">
        <v>169.6</v>
      </c>
      <c r="G370" s="1">
        <v>178.4</v>
      </c>
      <c r="H370" s="1">
        <v>174.9</v>
      </c>
      <c r="I370" s="1">
        <v>176.3</v>
      </c>
      <c r="J370" s="1">
        <v>155.4</v>
      </c>
      <c r="K370" s="1">
        <v>173.4</v>
      </c>
      <c r="L370" s="1">
        <v>121.3</v>
      </c>
      <c r="M370" s="1">
        <v>212.9</v>
      </c>
      <c r="N370" s="1">
        <v>172.9</v>
      </c>
      <c r="O370" s="1">
        <v>193.5</v>
      </c>
      <c r="P370" s="1">
        <v>177.9</v>
      </c>
      <c r="Q370" s="1">
        <v>200.6</v>
      </c>
      <c r="R370" s="1">
        <v>186.9</v>
      </c>
      <c r="S370" s="1">
        <v>179.2</v>
      </c>
      <c r="T370" s="1">
        <v>185.7</v>
      </c>
      <c r="U370" s="1">
        <v>175.2</v>
      </c>
      <c r="V370" s="1">
        <v>181.7</v>
      </c>
      <c r="W370" s="1">
        <v>174.6</v>
      </c>
      <c r="X370" s="1">
        <v>185</v>
      </c>
      <c r="Y370" s="1">
        <v>164.5</v>
      </c>
      <c r="Z370" s="1">
        <v>170.7</v>
      </c>
      <c r="AA370" s="1">
        <v>176.4</v>
      </c>
      <c r="AB370" s="1">
        <v>184</v>
      </c>
      <c r="AC370" s="1">
        <v>175</v>
      </c>
      <c r="AD370" s="1">
        <v>178.1</v>
      </c>
    </row>
    <row r="371" spans="1:30" ht="12.5" x14ac:dyDescent="0.25">
      <c r="A371" s="1" t="s">
        <v>30</v>
      </c>
      <c r="B371" s="1">
        <v>2023</v>
      </c>
      <c r="C371" s="1" t="s">
        <v>38</v>
      </c>
      <c r="D371" s="1">
        <v>173.2</v>
      </c>
      <c r="E371" s="1">
        <v>211.5</v>
      </c>
      <c r="F371" s="1">
        <v>171</v>
      </c>
      <c r="G371" s="1">
        <v>179.6</v>
      </c>
      <c r="H371" s="1">
        <v>173.3</v>
      </c>
      <c r="I371" s="1">
        <v>169</v>
      </c>
      <c r="J371" s="1">
        <v>148.69999999999999</v>
      </c>
      <c r="K371" s="1">
        <v>174.9</v>
      </c>
      <c r="L371" s="1">
        <v>121.9</v>
      </c>
      <c r="M371" s="1">
        <v>221</v>
      </c>
      <c r="N371" s="1">
        <v>178.7</v>
      </c>
      <c r="O371" s="1">
        <v>191.1</v>
      </c>
      <c r="P371" s="1">
        <v>176.8</v>
      </c>
      <c r="Q371" s="1">
        <v>199.9</v>
      </c>
      <c r="R371" s="1">
        <v>191.2</v>
      </c>
      <c r="S371" s="1">
        <v>187.9</v>
      </c>
      <c r="T371" s="1">
        <v>190.8</v>
      </c>
      <c r="U371" s="1" t="s">
        <v>47</v>
      </c>
      <c r="V371" s="1">
        <v>182.5</v>
      </c>
      <c r="W371" s="1">
        <v>179.8</v>
      </c>
      <c r="X371" s="1">
        <v>187.8</v>
      </c>
      <c r="Y371" s="1">
        <v>169.7</v>
      </c>
      <c r="Z371" s="1">
        <v>173.8</v>
      </c>
      <c r="AA371" s="1">
        <v>180.3</v>
      </c>
      <c r="AB371" s="1">
        <v>184.9</v>
      </c>
      <c r="AC371" s="1">
        <v>179.5</v>
      </c>
      <c r="AD371" s="1">
        <v>179.8</v>
      </c>
    </row>
    <row r="372" spans="1:30" ht="12.5" x14ac:dyDescent="0.25">
      <c r="A372" s="1" t="s">
        <v>33</v>
      </c>
      <c r="B372" s="1">
        <v>2023</v>
      </c>
      <c r="C372" s="1" t="s">
        <v>38</v>
      </c>
      <c r="D372" s="1">
        <v>174.7</v>
      </c>
      <c r="E372" s="1">
        <v>219.4</v>
      </c>
      <c r="F372" s="1">
        <v>176.7</v>
      </c>
      <c r="G372" s="1">
        <v>179.4</v>
      </c>
      <c r="H372" s="1">
        <v>164.4</v>
      </c>
      <c r="I372" s="1">
        <v>175.8</v>
      </c>
      <c r="J372" s="1">
        <v>185</v>
      </c>
      <c r="K372" s="1">
        <v>176.9</v>
      </c>
      <c r="L372" s="1">
        <v>124.2</v>
      </c>
      <c r="M372" s="1">
        <v>211.9</v>
      </c>
      <c r="N372" s="1">
        <v>165.9</v>
      </c>
      <c r="O372" s="1">
        <v>197.7</v>
      </c>
      <c r="P372" s="1">
        <v>183.1</v>
      </c>
      <c r="Q372" s="1">
        <v>204.2</v>
      </c>
      <c r="R372" s="1">
        <v>181.3</v>
      </c>
      <c r="S372" s="1">
        <v>168.1</v>
      </c>
      <c r="T372" s="1">
        <v>179.3</v>
      </c>
      <c r="U372" s="1">
        <v>175.6</v>
      </c>
      <c r="V372" s="1">
        <v>183.4</v>
      </c>
      <c r="W372" s="1">
        <v>170.1</v>
      </c>
      <c r="X372" s="1">
        <v>182.2</v>
      </c>
      <c r="Y372" s="1">
        <v>160.4</v>
      </c>
      <c r="Z372" s="1">
        <v>169.2</v>
      </c>
      <c r="AA372" s="1">
        <v>174.8</v>
      </c>
      <c r="AB372" s="1">
        <v>185.6</v>
      </c>
      <c r="AC372" s="1">
        <v>171.6</v>
      </c>
      <c r="AD372" s="1">
        <v>178.2</v>
      </c>
    </row>
    <row r="373" spans="1:30" ht="12.5" x14ac:dyDescent="0.25">
      <c r="A373" s="1" t="s">
        <v>34</v>
      </c>
      <c r="B373" s="1">
        <v>2023</v>
      </c>
      <c r="C373" s="1" t="s">
        <v>38</v>
      </c>
      <c r="D373" s="1">
        <v>173.7</v>
      </c>
      <c r="E373" s="1">
        <v>214.3</v>
      </c>
      <c r="F373" s="1">
        <v>173.2</v>
      </c>
      <c r="G373" s="1">
        <v>179.5</v>
      </c>
      <c r="H373" s="1">
        <v>170</v>
      </c>
      <c r="I373" s="1">
        <v>172.2</v>
      </c>
      <c r="J373" s="1">
        <v>161</v>
      </c>
      <c r="K373" s="1">
        <v>175.6</v>
      </c>
      <c r="L373" s="1">
        <v>122.7</v>
      </c>
      <c r="M373" s="1">
        <v>218</v>
      </c>
      <c r="N373" s="1">
        <v>173.4</v>
      </c>
      <c r="O373" s="1">
        <v>194.2</v>
      </c>
      <c r="P373" s="1">
        <v>179.1</v>
      </c>
      <c r="Q373" s="1">
        <v>201</v>
      </c>
      <c r="R373" s="1">
        <v>187.3</v>
      </c>
      <c r="S373" s="1">
        <v>179.7</v>
      </c>
      <c r="T373" s="1">
        <v>186.2</v>
      </c>
      <c r="U373" s="1">
        <v>175.6</v>
      </c>
      <c r="V373" s="1">
        <v>182.8</v>
      </c>
      <c r="W373" s="1">
        <v>175.2</v>
      </c>
      <c r="X373" s="1">
        <v>185.7</v>
      </c>
      <c r="Y373" s="1">
        <v>164.8</v>
      </c>
      <c r="Z373" s="1">
        <v>171.2</v>
      </c>
      <c r="AA373" s="1">
        <v>177.1</v>
      </c>
      <c r="AB373" s="1">
        <v>185.2</v>
      </c>
      <c r="AC373" s="1">
        <v>175.7</v>
      </c>
      <c r="AD373" s="1">
        <v>179.1</v>
      </c>
    </row>
  </sheetData>
  <sheetProtection algorithmName="SHA-512" hashValue="vej+2zN7DXzKf7VlmQr9C9TJMwEw3djASCCyMVQKvCPH3b2peSS8DuamQeb1Uc6H1C7sOPixcLpriPkmir/lUQ==" saltValue="94NpWQRKsxVbExMxn9e5j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BDA91-6C09-471D-A2B1-B61ABE18D0AF}">
  <dimension ref="C1:I36"/>
  <sheetViews>
    <sheetView showGridLines="0" topLeftCell="S1" zoomScale="109" zoomScaleNormal="85" workbookViewId="0">
      <selection activeCell="E10" sqref="E10"/>
    </sheetView>
  </sheetViews>
  <sheetFormatPr defaultRowHeight="12.5" x14ac:dyDescent="0.25"/>
  <cols>
    <col min="3" max="3" width="31.90625" customWidth="1"/>
    <col min="4" max="4" width="91.81640625" customWidth="1"/>
    <col min="8" max="8" width="12.81640625" customWidth="1"/>
    <col min="9" max="9" width="12" customWidth="1"/>
  </cols>
  <sheetData>
    <row r="1" spans="3:9" ht="13" x14ac:dyDescent="0.3">
      <c r="C1" s="80" t="s">
        <v>50</v>
      </c>
      <c r="D1" s="81"/>
      <c r="F1" s="82" t="s">
        <v>210</v>
      </c>
      <c r="G1" s="83"/>
      <c r="H1" s="83"/>
      <c r="I1" s="84"/>
    </row>
    <row r="2" spans="3:9" ht="13" x14ac:dyDescent="0.3">
      <c r="C2" s="9" t="s">
        <v>51</v>
      </c>
      <c r="D2" s="10" t="s">
        <v>52</v>
      </c>
      <c r="F2" s="20" t="s">
        <v>211</v>
      </c>
      <c r="I2" s="21"/>
    </row>
    <row r="3" spans="3:9" ht="13" x14ac:dyDescent="0.3">
      <c r="C3" s="7" t="s">
        <v>0</v>
      </c>
      <c r="D3" s="6" t="s">
        <v>53</v>
      </c>
      <c r="F3" s="22" t="s">
        <v>3</v>
      </c>
      <c r="I3" s="21"/>
    </row>
    <row r="4" spans="3:9" ht="13" x14ac:dyDescent="0.3">
      <c r="C4" s="7" t="s">
        <v>1</v>
      </c>
      <c r="D4" s="6" t="s">
        <v>54</v>
      </c>
      <c r="F4" s="22" t="s">
        <v>4</v>
      </c>
      <c r="I4" s="21"/>
    </row>
    <row r="5" spans="3:9" ht="13" x14ac:dyDescent="0.3">
      <c r="C5" s="7" t="s">
        <v>2</v>
      </c>
      <c r="D5" s="6" t="s">
        <v>55</v>
      </c>
      <c r="F5" s="22" t="s">
        <v>5</v>
      </c>
      <c r="I5" s="21"/>
    </row>
    <row r="6" spans="3:9" ht="13" x14ac:dyDescent="0.3">
      <c r="C6" s="7" t="s">
        <v>3</v>
      </c>
      <c r="D6" s="6" t="s">
        <v>58</v>
      </c>
      <c r="F6" s="22" t="s">
        <v>6</v>
      </c>
      <c r="I6" s="21"/>
    </row>
    <row r="7" spans="3:9" ht="13" x14ac:dyDescent="0.3">
      <c r="C7" s="7" t="s">
        <v>4</v>
      </c>
      <c r="D7" s="6" t="s">
        <v>59</v>
      </c>
      <c r="F7" s="22" t="s">
        <v>7</v>
      </c>
      <c r="I7" s="21"/>
    </row>
    <row r="8" spans="3:9" ht="13" x14ac:dyDescent="0.3">
      <c r="C8" s="7" t="s">
        <v>5</v>
      </c>
      <c r="D8" s="6" t="s">
        <v>60</v>
      </c>
      <c r="F8" s="22" t="s">
        <v>8</v>
      </c>
      <c r="I8" s="21"/>
    </row>
    <row r="9" spans="3:9" ht="13" x14ac:dyDescent="0.3">
      <c r="C9" s="7" t="s">
        <v>6</v>
      </c>
      <c r="D9" s="6" t="s">
        <v>61</v>
      </c>
      <c r="F9" s="22" t="s">
        <v>9</v>
      </c>
      <c r="I9" s="21"/>
    </row>
    <row r="10" spans="3:9" ht="13" x14ac:dyDescent="0.3">
      <c r="C10" s="7" t="s">
        <v>7</v>
      </c>
      <c r="D10" s="6" t="s">
        <v>62</v>
      </c>
      <c r="F10" s="22" t="s">
        <v>10</v>
      </c>
      <c r="I10" s="21"/>
    </row>
    <row r="11" spans="3:9" ht="13" x14ac:dyDescent="0.3">
      <c r="C11" s="7" t="s">
        <v>8</v>
      </c>
      <c r="D11" s="6" t="s">
        <v>63</v>
      </c>
      <c r="F11" s="22" t="s">
        <v>11</v>
      </c>
      <c r="I11" s="21"/>
    </row>
    <row r="12" spans="3:9" ht="13" x14ac:dyDescent="0.3">
      <c r="C12" s="7" t="s">
        <v>9</v>
      </c>
      <c r="D12" s="6" t="s">
        <v>64</v>
      </c>
      <c r="F12" s="22" t="s">
        <v>12</v>
      </c>
      <c r="I12" s="21"/>
    </row>
    <row r="13" spans="3:9" ht="13" x14ac:dyDescent="0.3">
      <c r="C13" s="7" t="s">
        <v>10</v>
      </c>
      <c r="D13" s="6" t="s">
        <v>65</v>
      </c>
      <c r="F13" s="22" t="s">
        <v>13</v>
      </c>
      <c r="I13" s="21"/>
    </row>
    <row r="14" spans="3:9" ht="13" x14ac:dyDescent="0.3">
      <c r="C14" s="7" t="s">
        <v>11</v>
      </c>
      <c r="D14" s="6" t="s">
        <v>66</v>
      </c>
      <c r="F14" s="22" t="s">
        <v>14</v>
      </c>
      <c r="I14" s="21"/>
    </row>
    <row r="15" spans="3:9" ht="13" x14ac:dyDescent="0.3">
      <c r="C15" s="7" t="s">
        <v>12</v>
      </c>
      <c r="D15" s="6" t="s">
        <v>67</v>
      </c>
      <c r="F15" s="22" t="s">
        <v>15</v>
      </c>
      <c r="I15" s="21"/>
    </row>
    <row r="16" spans="3:9" ht="13" x14ac:dyDescent="0.3">
      <c r="C16" s="7" t="s">
        <v>13</v>
      </c>
      <c r="D16" s="6" t="s">
        <v>59</v>
      </c>
      <c r="F16" s="23"/>
      <c r="I16" s="21"/>
    </row>
    <row r="17" spans="3:9" ht="13" x14ac:dyDescent="0.3">
      <c r="C17" s="7" t="s">
        <v>14</v>
      </c>
      <c r="D17" s="6" t="s">
        <v>68</v>
      </c>
      <c r="F17" s="20" t="s">
        <v>212</v>
      </c>
      <c r="I17" s="21"/>
    </row>
    <row r="18" spans="3:9" ht="13" x14ac:dyDescent="0.3">
      <c r="C18" s="7" t="s">
        <v>15</v>
      </c>
      <c r="D18" s="6" t="s">
        <v>69</v>
      </c>
      <c r="F18" s="22" t="s">
        <v>16</v>
      </c>
      <c r="I18" s="21"/>
    </row>
    <row r="19" spans="3:9" ht="13" x14ac:dyDescent="0.3">
      <c r="C19" s="7" t="s">
        <v>16</v>
      </c>
      <c r="D19" s="6" t="s">
        <v>70</v>
      </c>
      <c r="F19" s="23"/>
      <c r="I19" s="21"/>
    </row>
    <row r="20" spans="3:9" ht="13" x14ac:dyDescent="0.3">
      <c r="C20" s="7" t="s">
        <v>17</v>
      </c>
      <c r="D20" s="6" t="s">
        <v>71</v>
      </c>
      <c r="F20" s="20" t="s">
        <v>215</v>
      </c>
      <c r="I20" s="21"/>
    </row>
    <row r="21" spans="3:9" ht="13" x14ac:dyDescent="0.3">
      <c r="C21" s="7" t="s">
        <v>18</v>
      </c>
      <c r="D21" s="6" t="s">
        <v>72</v>
      </c>
      <c r="F21" s="22" t="s">
        <v>17</v>
      </c>
      <c r="I21" s="21"/>
    </row>
    <row r="22" spans="3:9" ht="13" x14ac:dyDescent="0.3">
      <c r="C22" s="7" t="s">
        <v>19</v>
      </c>
      <c r="D22" s="6" t="s">
        <v>73</v>
      </c>
      <c r="F22" s="22" t="s">
        <v>18</v>
      </c>
      <c r="I22" s="21"/>
    </row>
    <row r="23" spans="3:9" ht="13" x14ac:dyDescent="0.3">
      <c r="C23" s="7" t="s">
        <v>20</v>
      </c>
      <c r="D23" s="6" t="s">
        <v>74</v>
      </c>
      <c r="F23" s="22" t="s">
        <v>19</v>
      </c>
      <c r="I23" s="21"/>
    </row>
    <row r="24" spans="3:9" ht="13" x14ac:dyDescent="0.3">
      <c r="C24" s="7" t="s">
        <v>21</v>
      </c>
      <c r="D24" s="6" t="s">
        <v>75</v>
      </c>
      <c r="F24" s="23"/>
      <c r="I24" s="21"/>
    </row>
    <row r="25" spans="3:9" ht="13" x14ac:dyDescent="0.3">
      <c r="C25" s="7" t="s">
        <v>22</v>
      </c>
      <c r="D25" s="6" t="s">
        <v>76</v>
      </c>
      <c r="F25" s="20" t="s">
        <v>213</v>
      </c>
      <c r="I25" s="21"/>
    </row>
    <row r="26" spans="3:9" ht="13" x14ac:dyDescent="0.3">
      <c r="C26" s="7" t="s">
        <v>23</v>
      </c>
      <c r="D26" s="6" t="s">
        <v>77</v>
      </c>
      <c r="F26" s="22" t="s">
        <v>20</v>
      </c>
      <c r="I26" s="21"/>
    </row>
    <row r="27" spans="3:9" ht="13" x14ac:dyDescent="0.3">
      <c r="C27" s="7" t="s">
        <v>24</v>
      </c>
      <c r="D27" s="6" t="s">
        <v>78</v>
      </c>
      <c r="F27" s="22" t="s">
        <v>21</v>
      </c>
      <c r="I27" s="21"/>
    </row>
    <row r="28" spans="3:9" ht="13" x14ac:dyDescent="0.3">
      <c r="C28" s="7" t="s">
        <v>25</v>
      </c>
      <c r="D28" s="6" t="s">
        <v>79</v>
      </c>
      <c r="F28" s="22" t="s">
        <v>22</v>
      </c>
      <c r="I28" s="21"/>
    </row>
    <row r="29" spans="3:9" ht="13" x14ac:dyDescent="0.3">
      <c r="C29" s="7" t="s">
        <v>26</v>
      </c>
      <c r="D29" s="6" t="s">
        <v>80</v>
      </c>
      <c r="F29" s="23"/>
      <c r="I29" s="21"/>
    </row>
    <row r="30" spans="3:9" ht="13" x14ac:dyDescent="0.3">
      <c r="C30" s="7" t="s">
        <v>27</v>
      </c>
      <c r="D30" s="6" t="s">
        <v>81</v>
      </c>
      <c r="F30" s="20" t="s">
        <v>214</v>
      </c>
      <c r="I30" s="21"/>
    </row>
    <row r="31" spans="3:9" ht="13" x14ac:dyDescent="0.3">
      <c r="C31" s="7" t="s">
        <v>28</v>
      </c>
      <c r="D31" s="6" t="s">
        <v>57</v>
      </c>
      <c r="F31" s="22" t="s">
        <v>23</v>
      </c>
      <c r="I31" s="21"/>
    </row>
    <row r="32" spans="3:9" ht="13.5" thickBot="1" x14ac:dyDescent="0.35">
      <c r="C32" s="8" t="s">
        <v>209</v>
      </c>
      <c r="D32" s="11" t="s">
        <v>56</v>
      </c>
      <c r="F32" s="22" t="s">
        <v>26</v>
      </c>
      <c r="I32" s="21"/>
    </row>
    <row r="33" spans="6:9" x14ac:dyDescent="0.25">
      <c r="F33" s="22" t="s">
        <v>24</v>
      </c>
      <c r="I33" s="21"/>
    </row>
    <row r="34" spans="6:9" x14ac:dyDescent="0.25">
      <c r="F34" s="22" t="s">
        <v>25</v>
      </c>
      <c r="I34" s="21"/>
    </row>
    <row r="35" spans="6:9" x14ac:dyDescent="0.25">
      <c r="F35" s="22" t="s">
        <v>27</v>
      </c>
      <c r="I35" s="21"/>
    </row>
    <row r="36" spans="6:9" ht="13" thickBot="1" x14ac:dyDescent="0.3">
      <c r="F36" s="24" t="s">
        <v>28</v>
      </c>
      <c r="G36" s="25"/>
      <c r="H36" s="25"/>
      <c r="I36" s="26"/>
    </row>
  </sheetData>
  <mergeCells count="2">
    <mergeCell ref="C1:D1"/>
    <mergeCell ref="F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C746E-AB42-4CF6-8B3F-80199915C0F1}">
  <sheetPr filterMode="1"/>
  <dimension ref="A1:AE393"/>
  <sheetViews>
    <sheetView zoomScaleNormal="130" workbookViewId="0">
      <pane ySplit="1" topLeftCell="A2" activePane="bottomLeft" state="frozen"/>
      <selection pane="bottomLeft" activeCell="S393" sqref="S393"/>
    </sheetView>
  </sheetViews>
  <sheetFormatPr defaultRowHeight="12.5" x14ac:dyDescent="0.25"/>
  <cols>
    <col min="1" max="1" width="14.81640625" customWidth="1"/>
    <col min="2" max="2" width="9.90625" customWidth="1"/>
    <col min="3" max="3" width="11.26953125" customWidth="1"/>
    <col min="4" max="4" width="13.26953125" customWidth="1"/>
    <col min="5" max="5" width="20.453125" customWidth="1"/>
    <col min="6" max="6" width="15.1796875" customWidth="1"/>
    <col min="8" max="8" width="18.7265625" customWidth="1"/>
    <col min="9" max="9" width="15.7265625" customWidth="1"/>
    <col min="11" max="11" width="15" customWidth="1"/>
    <col min="12" max="12" width="18.90625" customWidth="1"/>
    <col min="13" max="13" width="23.81640625" customWidth="1"/>
    <col min="15" max="15" width="23.7265625" customWidth="1"/>
    <col min="16" max="16" width="33.36328125" customWidth="1"/>
    <col min="17" max="17" width="21.36328125" customWidth="1"/>
    <col min="18" max="18" width="27" customWidth="1"/>
    <col min="19" max="19" width="11.90625" customWidth="1"/>
    <col min="20" max="20" width="10.453125" customWidth="1"/>
    <col min="21" max="21" width="21.54296875" customWidth="1"/>
    <col min="23" max="23" width="13.7265625" customWidth="1"/>
    <col min="24" max="24" width="29.7265625" customWidth="1"/>
    <col min="26" max="27" width="28.90625" customWidth="1"/>
    <col min="28" max="28" width="13.81640625" customWidth="1"/>
    <col min="29" max="29" width="24.90625" customWidth="1"/>
    <col min="30" max="30" width="16.26953125" customWidth="1"/>
    <col min="31" max="31" width="15" customWidth="1"/>
  </cols>
  <sheetData>
    <row r="1" spans="1:31" s="3" customFormat="1" ht="15.75" customHeight="1" x14ac:dyDescent="0.3">
      <c r="A1" s="2" t="s">
        <v>0</v>
      </c>
      <c r="B1" s="2" t="s">
        <v>1</v>
      </c>
      <c r="C1" s="2" t="s">
        <v>2</v>
      </c>
      <c r="D1" s="12" t="s">
        <v>82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row>
    <row r="2" spans="1:31" x14ac:dyDescent="0.25">
      <c r="A2" s="1" t="s">
        <v>33</v>
      </c>
      <c r="B2" s="1">
        <v>2022</v>
      </c>
      <c r="C2" s="1" t="s">
        <v>40</v>
      </c>
      <c r="D2" s="1" t="s">
        <v>196</v>
      </c>
      <c r="E2" s="1">
        <v>159.30000000000001</v>
      </c>
      <c r="F2" s="1">
        <v>217.1</v>
      </c>
      <c r="G2" s="1">
        <v>176.6</v>
      </c>
      <c r="H2" s="1">
        <v>167.1</v>
      </c>
      <c r="I2" s="1">
        <v>184.8</v>
      </c>
      <c r="J2" s="1">
        <v>179.5</v>
      </c>
      <c r="K2" s="1">
        <v>208.5</v>
      </c>
      <c r="L2" s="1">
        <v>164</v>
      </c>
      <c r="M2" s="1">
        <v>121.5</v>
      </c>
      <c r="N2" s="1">
        <v>186.3</v>
      </c>
      <c r="O2" s="1">
        <v>159.80000000000001</v>
      </c>
      <c r="P2" s="1">
        <v>187.7</v>
      </c>
      <c r="Q2" s="1">
        <v>179.4</v>
      </c>
      <c r="R2" s="1">
        <v>198.6</v>
      </c>
      <c r="S2" s="1">
        <v>172.7</v>
      </c>
      <c r="T2" s="1">
        <v>158.69999999999999</v>
      </c>
      <c r="U2" s="1">
        <v>170.6</v>
      </c>
      <c r="V2" s="1">
        <v>167.8</v>
      </c>
      <c r="W2" s="1">
        <v>179.5</v>
      </c>
      <c r="X2" s="1">
        <v>163.1</v>
      </c>
      <c r="Y2" s="1">
        <v>171.7</v>
      </c>
      <c r="Z2" s="1">
        <v>157.4</v>
      </c>
      <c r="AA2" s="1">
        <v>164.6</v>
      </c>
      <c r="AB2" s="1">
        <v>169.1</v>
      </c>
      <c r="AC2" s="1">
        <v>169.8</v>
      </c>
      <c r="AD2" s="1">
        <v>164.7</v>
      </c>
      <c r="AE2" s="1">
        <v>172.3</v>
      </c>
    </row>
    <row r="3" spans="1:31" x14ac:dyDescent="0.25">
      <c r="A3" s="1" t="s">
        <v>33</v>
      </c>
      <c r="B3" s="1">
        <v>2023</v>
      </c>
      <c r="C3" s="1" t="s">
        <v>37</v>
      </c>
      <c r="D3" s="1" t="s">
        <v>205</v>
      </c>
      <c r="E3" s="1">
        <v>174.8</v>
      </c>
      <c r="F3" s="1">
        <v>213.7</v>
      </c>
      <c r="G3" s="1">
        <v>172.4</v>
      </c>
      <c r="H3" s="1">
        <v>178.8</v>
      </c>
      <c r="I3" s="1">
        <v>168.7</v>
      </c>
      <c r="J3" s="1">
        <v>179.2</v>
      </c>
      <c r="K3" s="1">
        <v>179.9</v>
      </c>
      <c r="L3" s="1">
        <v>174.7</v>
      </c>
      <c r="M3" s="1">
        <v>123.1</v>
      </c>
      <c r="N3" s="1">
        <v>207.8</v>
      </c>
      <c r="O3" s="1">
        <v>165.5</v>
      </c>
      <c r="P3" s="1">
        <v>197</v>
      </c>
      <c r="Q3" s="1">
        <v>182.1</v>
      </c>
      <c r="R3" s="1">
        <v>203.5</v>
      </c>
      <c r="S3" s="1">
        <v>181</v>
      </c>
      <c r="T3" s="1">
        <v>167.7</v>
      </c>
      <c r="U3" s="1">
        <v>178.9</v>
      </c>
      <c r="V3" s="1">
        <v>175.2</v>
      </c>
      <c r="W3" s="1">
        <v>182.1</v>
      </c>
      <c r="X3" s="1">
        <v>169.6</v>
      </c>
      <c r="Y3" s="1">
        <v>181.5</v>
      </c>
      <c r="Z3" s="1">
        <v>160.1</v>
      </c>
      <c r="AA3" s="1">
        <v>168.8</v>
      </c>
      <c r="AB3" s="1">
        <v>174.2</v>
      </c>
      <c r="AC3" s="1">
        <v>184.4</v>
      </c>
      <c r="AD3" s="1">
        <v>170.9</v>
      </c>
      <c r="AE3" s="1">
        <v>177.4</v>
      </c>
    </row>
    <row r="4" spans="1:31" x14ac:dyDescent="0.25">
      <c r="A4" s="1" t="s">
        <v>33</v>
      </c>
      <c r="B4" s="1">
        <v>2022</v>
      </c>
      <c r="C4" s="1" t="s">
        <v>41</v>
      </c>
      <c r="D4" s="1" t="s">
        <v>197</v>
      </c>
      <c r="E4" s="1">
        <v>162.1</v>
      </c>
      <c r="F4" s="1">
        <v>210.9</v>
      </c>
      <c r="G4" s="1">
        <v>170.6</v>
      </c>
      <c r="H4" s="1">
        <v>168.4</v>
      </c>
      <c r="I4" s="1">
        <v>182.5</v>
      </c>
      <c r="J4" s="1">
        <v>177.1</v>
      </c>
      <c r="K4" s="1">
        <v>213.1</v>
      </c>
      <c r="L4" s="1">
        <v>167.3</v>
      </c>
      <c r="M4" s="1">
        <v>122.2</v>
      </c>
      <c r="N4" s="1">
        <v>189.7</v>
      </c>
      <c r="O4" s="1">
        <v>160.5</v>
      </c>
      <c r="P4" s="1">
        <v>188.9</v>
      </c>
      <c r="Q4" s="1">
        <v>180.4</v>
      </c>
      <c r="R4" s="1">
        <v>198.7</v>
      </c>
      <c r="S4" s="1">
        <v>173.7</v>
      </c>
      <c r="T4" s="1">
        <v>160</v>
      </c>
      <c r="U4" s="1">
        <v>171.6</v>
      </c>
      <c r="V4" s="1">
        <v>169</v>
      </c>
      <c r="W4" s="1">
        <v>178.4</v>
      </c>
      <c r="X4" s="1">
        <v>164.2</v>
      </c>
      <c r="Y4" s="1">
        <v>172.6</v>
      </c>
      <c r="Z4" s="1">
        <v>157.69999999999999</v>
      </c>
      <c r="AA4" s="1">
        <v>165.1</v>
      </c>
      <c r="AB4" s="1">
        <v>169.9</v>
      </c>
      <c r="AC4" s="1">
        <v>171.4</v>
      </c>
      <c r="AD4" s="1">
        <v>165.4</v>
      </c>
      <c r="AE4" s="1">
        <v>173.1</v>
      </c>
    </row>
    <row r="5" spans="1:31" x14ac:dyDescent="0.25">
      <c r="A5" s="1" t="s">
        <v>34</v>
      </c>
      <c r="B5" s="1">
        <v>2023</v>
      </c>
      <c r="C5" s="1" t="s">
        <v>37</v>
      </c>
      <c r="D5" s="1" t="s">
        <v>205</v>
      </c>
      <c r="E5" s="1">
        <v>173.8</v>
      </c>
      <c r="F5" s="1">
        <v>209.3</v>
      </c>
      <c r="G5" s="1">
        <v>169.6</v>
      </c>
      <c r="H5" s="1">
        <v>178.4</v>
      </c>
      <c r="I5" s="1">
        <v>174.9</v>
      </c>
      <c r="J5" s="1">
        <v>176.3</v>
      </c>
      <c r="K5" s="1">
        <v>155.4</v>
      </c>
      <c r="L5" s="1">
        <v>173.4</v>
      </c>
      <c r="M5" s="1">
        <v>121.3</v>
      </c>
      <c r="N5" s="1">
        <v>212.9</v>
      </c>
      <c r="O5" s="1">
        <v>172.9</v>
      </c>
      <c r="P5" s="1">
        <v>193.5</v>
      </c>
      <c r="Q5" s="1">
        <v>177.9</v>
      </c>
      <c r="R5" s="1">
        <v>200.6</v>
      </c>
      <c r="S5" s="1">
        <v>186.9</v>
      </c>
      <c r="T5" s="1">
        <v>179.2</v>
      </c>
      <c r="U5" s="1">
        <v>185.7</v>
      </c>
      <c r="V5" s="1">
        <v>175.2</v>
      </c>
      <c r="W5" s="1">
        <v>181.7</v>
      </c>
      <c r="X5" s="1">
        <v>174.6</v>
      </c>
      <c r="Y5" s="1">
        <v>185</v>
      </c>
      <c r="Z5" s="1">
        <v>164.5</v>
      </c>
      <c r="AA5" s="1">
        <v>170.7</v>
      </c>
      <c r="AB5" s="1">
        <v>176.4</v>
      </c>
      <c r="AC5" s="1">
        <v>184</v>
      </c>
      <c r="AD5" s="1">
        <v>175</v>
      </c>
      <c r="AE5" s="1">
        <v>178.1</v>
      </c>
    </row>
    <row r="6" spans="1:31" x14ac:dyDescent="0.25">
      <c r="A6" s="1" t="s">
        <v>33</v>
      </c>
      <c r="B6" s="1">
        <v>2022</v>
      </c>
      <c r="C6" s="1" t="s">
        <v>37</v>
      </c>
      <c r="D6" s="1" t="s">
        <v>193</v>
      </c>
      <c r="E6" s="1">
        <v>155.4</v>
      </c>
      <c r="F6" s="1">
        <v>215.8</v>
      </c>
      <c r="G6" s="1">
        <v>164.6</v>
      </c>
      <c r="H6" s="1">
        <v>164.2</v>
      </c>
      <c r="I6" s="1">
        <v>186</v>
      </c>
      <c r="J6" s="1">
        <v>175.9</v>
      </c>
      <c r="K6" s="1">
        <v>190.7</v>
      </c>
      <c r="L6" s="1">
        <v>164</v>
      </c>
      <c r="M6" s="1">
        <v>120.5</v>
      </c>
      <c r="N6" s="1">
        <v>178</v>
      </c>
      <c r="O6" s="1">
        <v>157.5</v>
      </c>
      <c r="P6" s="1">
        <v>183.3</v>
      </c>
      <c r="Q6" s="1">
        <v>174.5</v>
      </c>
      <c r="R6" s="1">
        <v>197.1</v>
      </c>
      <c r="S6" s="1">
        <v>168.4</v>
      </c>
      <c r="T6" s="1">
        <v>154.5</v>
      </c>
      <c r="U6" s="1">
        <v>166.3</v>
      </c>
      <c r="V6" s="1">
        <v>167</v>
      </c>
      <c r="W6" s="1">
        <v>170.5</v>
      </c>
      <c r="X6" s="1">
        <v>159.80000000000001</v>
      </c>
      <c r="Y6" s="1">
        <v>169</v>
      </c>
      <c r="Z6" s="1">
        <v>159.30000000000001</v>
      </c>
      <c r="AA6" s="1">
        <v>162.19999999999999</v>
      </c>
      <c r="AB6" s="1">
        <v>164</v>
      </c>
      <c r="AC6" s="1">
        <v>168.4</v>
      </c>
      <c r="AD6" s="1">
        <v>163.1</v>
      </c>
      <c r="AE6" s="1">
        <v>169.2</v>
      </c>
    </row>
    <row r="7" spans="1:31" x14ac:dyDescent="0.25">
      <c r="A7" s="1" t="s">
        <v>33</v>
      </c>
      <c r="B7" s="1">
        <v>2023</v>
      </c>
      <c r="C7" s="1" t="s">
        <v>38</v>
      </c>
      <c r="D7" s="1" t="s">
        <v>206</v>
      </c>
      <c r="E7" s="1">
        <v>174.7</v>
      </c>
      <c r="F7" s="1">
        <v>219.4</v>
      </c>
      <c r="G7" s="1">
        <v>176.7</v>
      </c>
      <c r="H7" s="1">
        <v>179.4</v>
      </c>
      <c r="I7" s="1">
        <v>164.4</v>
      </c>
      <c r="J7" s="1">
        <v>175.8</v>
      </c>
      <c r="K7" s="1">
        <v>185</v>
      </c>
      <c r="L7" s="1">
        <v>176.9</v>
      </c>
      <c r="M7" s="1">
        <v>124.2</v>
      </c>
      <c r="N7" s="1">
        <v>211.9</v>
      </c>
      <c r="O7" s="1">
        <v>165.9</v>
      </c>
      <c r="P7" s="1">
        <v>197.7</v>
      </c>
      <c r="Q7" s="1">
        <v>183.1</v>
      </c>
      <c r="R7" s="1">
        <v>204.2</v>
      </c>
      <c r="S7" s="1">
        <v>181.3</v>
      </c>
      <c r="T7" s="1">
        <v>168.1</v>
      </c>
      <c r="U7" s="1">
        <v>179.3</v>
      </c>
      <c r="V7" s="1">
        <v>175.6</v>
      </c>
      <c r="W7" s="1">
        <v>183.4</v>
      </c>
      <c r="X7" s="1">
        <v>170.1</v>
      </c>
      <c r="Y7" s="1">
        <v>182.2</v>
      </c>
      <c r="Z7" s="1">
        <v>160.4</v>
      </c>
      <c r="AA7" s="1">
        <v>169.2</v>
      </c>
      <c r="AB7" s="1">
        <v>174.8</v>
      </c>
      <c r="AC7" s="1">
        <v>185.6</v>
      </c>
      <c r="AD7" s="1">
        <v>171.6</v>
      </c>
      <c r="AE7" s="1">
        <v>178.2</v>
      </c>
    </row>
    <row r="8" spans="1:31" x14ac:dyDescent="0.25">
      <c r="A8" s="1" t="s">
        <v>33</v>
      </c>
      <c r="B8" s="1">
        <v>2022</v>
      </c>
      <c r="C8" s="1" t="s">
        <v>38</v>
      </c>
      <c r="D8" s="1" t="s">
        <v>194</v>
      </c>
      <c r="E8" s="1">
        <v>156.69999999999999</v>
      </c>
      <c r="F8" s="1">
        <v>221.2</v>
      </c>
      <c r="G8" s="1">
        <v>164.1</v>
      </c>
      <c r="H8" s="1">
        <v>165.4</v>
      </c>
      <c r="I8" s="1">
        <v>189.5</v>
      </c>
      <c r="J8" s="1">
        <v>174.5</v>
      </c>
      <c r="K8" s="1">
        <v>203.2</v>
      </c>
      <c r="L8" s="1">
        <v>164.1</v>
      </c>
      <c r="M8" s="1">
        <v>121.2</v>
      </c>
      <c r="N8" s="1">
        <v>181.4</v>
      </c>
      <c r="O8" s="1">
        <v>158.5</v>
      </c>
      <c r="P8" s="1">
        <v>184.9</v>
      </c>
      <c r="Q8" s="1">
        <v>177.5</v>
      </c>
      <c r="R8" s="1">
        <v>197.5</v>
      </c>
      <c r="S8" s="1">
        <v>170</v>
      </c>
      <c r="T8" s="1">
        <v>155.9</v>
      </c>
      <c r="U8" s="1">
        <v>167.8</v>
      </c>
      <c r="V8" s="1">
        <v>167.5</v>
      </c>
      <c r="W8" s="1">
        <v>173.5</v>
      </c>
      <c r="X8" s="1">
        <v>161.1</v>
      </c>
      <c r="Y8" s="1">
        <v>170.1</v>
      </c>
      <c r="Z8" s="1">
        <v>159.4</v>
      </c>
      <c r="AA8" s="1">
        <v>163.19999999999999</v>
      </c>
      <c r="AB8" s="1">
        <v>165.2</v>
      </c>
      <c r="AC8" s="1">
        <v>168.2</v>
      </c>
      <c r="AD8" s="1">
        <v>163.80000000000001</v>
      </c>
      <c r="AE8" s="1">
        <v>170.8</v>
      </c>
    </row>
    <row r="9" spans="1:31" x14ac:dyDescent="0.25">
      <c r="A9" s="1" t="s">
        <v>34</v>
      </c>
      <c r="B9" s="1">
        <v>2022</v>
      </c>
      <c r="C9" s="1" t="s">
        <v>40</v>
      </c>
      <c r="D9" s="1" t="s">
        <v>196</v>
      </c>
      <c r="E9" s="1">
        <v>156.5</v>
      </c>
      <c r="F9" s="1">
        <v>213</v>
      </c>
      <c r="G9" s="1">
        <v>175.2</v>
      </c>
      <c r="H9" s="1">
        <v>166.6</v>
      </c>
      <c r="I9" s="1">
        <v>195.8</v>
      </c>
      <c r="J9" s="1">
        <v>174.2</v>
      </c>
      <c r="K9" s="1">
        <v>182.1</v>
      </c>
      <c r="L9" s="1">
        <v>164.3</v>
      </c>
      <c r="M9" s="1">
        <v>120</v>
      </c>
      <c r="N9" s="1">
        <v>190</v>
      </c>
      <c r="O9" s="1">
        <v>168.4</v>
      </c>
      <c r="P9" s="1">
        <v>185.2</v>
      </c>
      <c r="Q9" s="1">
        <v>175</v>
      </c>
      <c r="R9" s="1">
        <v>194.6</v>
      </c>
      <c r="S9" s="1">
        <v>178.3</v>
      </c>
      <c r="T9" s="1">
        <v>171.3</v>
      </c>
      <c r="U9" s="1">
        <v>177.3</v>
      </c>
      <c r="V9" s="1">
        <v>167.8</v>
      </c>
      <c r="W9" s="1">
        <v>179.6</v>
      </c>
      <c r="X9" s="1">
        <v>167.4</v>
      </c>
      <c r="Y9" s="1">
        <v>176.1</v>
      </c>
      <c r="Z9" s="1">
        <v>161.6</v>
      </c>
      <c r="AA9" s="1">
        <v>166.3</v>
      </c>
      <c r="AB9" s="1">
        <v>171.4</v>
      </c>
      <c r="AC9" s="1">
        <v>169.7</v>
      </c>
      <c r="AD9" s="1">
        <v>168.4</v>
      </c>
      <c r="AE9" s="1">
        <v>173.4</v>
      </c>
    </row>
    <row r="10" spans="1:31" x14ac:dyDescent="0.25">
      <c r="A10" s="1" t="s">
        <v>33</v>
      </c>
      <c r="B10" s="1">
        <v>2022</v>
      </c>
      <c r="C10" s="1" t="s">
        <v>39</v>
      </c>
      <c r="D10" s="1" t="s">
        <v>195</v>
      </c>
      <c r="E10" s="1">
        <v>157.5</v>
      </c>
      <c r="F10" s="1">
        <v>223.4</v>
      </c>
      <c r="G10" s="1">
        <v>172.8</v>
      </c>
      <c r="H10" s="1">
        <v>166.4</v>
      </c>
      <c r="I10" s="1">
        <v>188.6</v>
      </c>
      <c r="J10" s="1">
        <v>174.1</v>
      </c>
      <c r="K10" s="1">
        <v>211.5</v>
      </c>
      <c r="L10" s="1">
        <v>163.6</v>
      </c>
      <c r="M10" s="1">
        <v>121.4</v>
      </c>
      <c r="N10" s="1">
        <v>183.5</v>
      </c>
      <c r="O10" s="1">
        <v>159.1</v>
      </c>
      <c r="P10" s="1">
        <v>186.3</v>
      </c>
      <c r="Q10" s="1">
        <v>179.3</v>
      </c>
      <c r="R10" s="1">
        <v>198.3</v>
      </c>
      <c r="S10" s="1">
        <v>171.6</v>
      </c>
      <c r="T10" s="1">
        <v>157.4</v>
      </c>
      <c r="U10" s="1">
        <v>169.4</v>
      </c>
      <c r="V10" s="1">
        <v>166.8</v>
      </c>
      <c r="W10" s="1">
        <v>174.9</v>
      </c>
      <c r="X10" s="1">
        <v>162.1</v>
      </c>
      <c r="Y10" s="1">
        <v>170.9</v>
      </c>
      <c r="Z10" s="1">
        <v>157.19999999999999</v>
      </c>
      <c r="AA10" s="1">
        <v>164.1</v>
      </c>
      <c r="AB10" s="1">
        <v>166.5</v>
      </c>
      <c r="AC10" s="1">
        <v>169.2</v>
      </c>
      <c r="AD10" s="1">
        <v>163.80000000000001</v>
      </c>
      <c r="AE10" s="1">
        <v>171.4</v>
      </c>
    </row>
    <row r="11" spans="1:31" x14ac:dyDescent="0.25">
      <c r="A11" s="1" t="s">
        <v>30</v>
      </c>
      <c r="B11" s="1">
        <v>2023</v>
      </c>
      <c r="C11" s="1" t="s">
        <v>37</v>
      </c>
      <c r="D11" s="1" t="s">
        <v>205</v>
      </c>
      <c r="E11" s="1">
        <v>173.3</v>
      </c>
      <c r="F11" s="1">
        <v>206.9</v>
      </c>
      <c r="G11" s="1">
        <v>167.9</v>
      </c>
      <c r="H11" s="1">
        <v>178.2</v>
      </c>
      <c r="I11" s="1">
        <v>178.5</v>
      </c>
      <c r="J11" s="1">
        <v>173.7</v>
      </c>
      <c r="K11" s="1">
        <v>142.80000000000001</v>
      </c>
      <c r="L11" s="1">
        <v>172.8</v>
      </c>
      <c r="M11" s="1">
        <v>120.4</v>
      </c>
      <c r="N11" s="1">
        <v>215.5</v>
      </c>
      <c r="O11" s="1">
        <v>178.2</v>
      </c>
      <c r="P11" s="1">
        <v>190.5</v>
      </c>
      <c r="Q11" s="1">
        <v>175.5</v>
      </c>
      <c r="R11" s="1">
        <v>199.5</v>
      </c>
      <c r="S11" s="1">
        <v>190.7</v>
      </c>
      <c r="T11" s="1">
        <v>187.3</v>
      </c>
      <c r="U11" s="1">
        <v>190.2</v>
      </c>
      <c r="V11" s="14">
        <v>175.2</v>
      </c>
      <c r="W11" s="1">
        <v>181.5</v>
      </c>
      <c r="X11" s="1">
        <v>179.1</v>
      </c>
      <c r="Y11" s="1">
        <v>187.2</v>
      </c>
      <c r="Z11" s="1">
        <v>169.4</v>
      </c>
      <c r="AA11" s="1">
        <v>173.2</v>
      </c>
      <c r="AB11" s="1">
        <v>179.4</v>
      </c>
      <c r="AC11" s="1">
        <v>183.8</v>
      </c>
      <c r="AD11" s="1">
        <v>178.9</v>
      </c>
      <c r="AE11" s="1">
        <v>178.8</v>
      </c>
    </row>
    <row r="12" spans="1:31" x14ac:dyDescent="0.25">
      <c r="A12" s="1" t="s">
        <v>34</v>
      </c>
      <c r="B12" s="1">
        <v>2022</v>
      </c>
      <c r="C12" s="1" t="s">
        <v>41</v>
      </c>
      <c r="D12" s="1" t="s">
        <v>197</v>
      </c>
      <c r="E12" s="1">
        <v>160.30000000000001</v>
      </c>
      <c r="F12" s="1">
        <v>206.5</v>
      </c>
      <c r="G12" s="1">
        <v>169.2</v>
      </c>
      <c r="H12" s="1">
        <v>168.1</v>
      </c>
      <c r="I12" s="1">
        <v>192.4</v>
      </c>
      <c r="J12" s="1">
        <v>172.9</v>
      </c>
      <c r="K12" s="1">
        <v>186.7</v>
      </c>
      <c r="L12" s="1">
        <v>167.2</v>
      </c>
      <c r="M12" s="1">
        <v>120.9</v>
      </c>
      <c r="N12" s="1">
        <v>193.6</v>
      </c>
      <c r="O12" s="1">
        <v>168.8</v>
      </c>
      <c r="P12" s="1">
        <v>186.3</v>
      </c>
      <c r="Q12" s="1">
        <v>176.3</v>
      </c>
      <c r="R12" s="1">
        <v>195</v>
      </c>
      <c r="S12" s="1">
        <v>179.5</v>
      </c>
      <c r="T12" s="1">
        <v>172.7</v>
      </c>
      <c r="U12" s="1">
        <v>178.5</v>
      </c>
      <c r="V12" s="1">
        <v>169</v>
      </c>
      <c r="W12" s="1">
        <v>178.8</v>
      </c>
      <c r="X12" s="1">
        <v>168.5</v>
      </c>
      <c r="Y12" s="1">
        <v>176.8</v>
      </c>
      <c r="Z12" s="1">
        <v>161.9</v>
      </c>
      <c r="AA12" s="1">
        <v>166.9</v>
      </c>
      <c r="AB12" s="1">
        <v>172.3</v>
      </c>
      <c r="AC12" s="1">
        <v>171.2</v>
      </c>
      <c r="AD12" s="1">
        <v>169.1</v>
      </c>
      <c r="AE12" s="1">
        <v>174.3</v>
      </c>
    </row>
    <row r="13" spans="1:31" x14ac:dyDescent="0.25">
      <c r="A13" s="1" t="s">
        <v>34</v>
      </c>
      <c r="B13" s="1">
        <v>2022</v>
      </c>
      <c r="C13" s="1" t="s">
        <v>37</v>
      </c>
      <c r="D13" s="1" t="s">
        <v>193</v>
      </c>
      <c r="E13" s="1">
        <v>152.9</v>
      </c>
      <c r="F13" s="1">
        <v>211.8</v>
      </c>
      <c r="G13" s="1">
        <v>164.5</v>
      </c>
      <c r="H13" s="1">
        <v>163.9</v>
      </c>
      <c r="I13" s="1">
        <v>199.5</v>
      </c>
      <c r="J13" s="1">
        <v>172.6</v>
      </c>
      <c r="K13" s="1">
        <v>166.2</v>
      </c>
      <c r="L13" s="1">
        <v>164.7</v>
      </c>
      <c r="M13" s="1">
        <v>119</v>
      </c>
      <c r="N13" s="1">
        <v>181.3</v>
      </c>
      <c r="O13" s="1">
        <v>166.2</v>
      </c>
      <c r="P13" s="1">
        <v>180.9</v>
      </c>
      <c r="Q13" s="1">
        <v>170.8</v>
      </c>
      <c r="R13" s="1">
        <v>193.9</v>
      </c>
      <c r="S13" s="1">
        <v>173.9</v>
      </c>
      <c r="T13" s="1">
        <v>166.5</v>
      </c>
      <c r="U13" s="1">
        <v>172.8</v>
      </c>
      <c r="V13" s="1">
        <v>167</v>
      </c>
      <c r="W13" s="1">
        <v>172.2</v>
      </c>
      <c r="X13" s="1">
        <v>164</v>
      </c>
      <c r="Y13" s="1">
        <v>174</v>
      </c>
      <c r="Z13" s="1">
        <v>162.6</v>
      </c>
      <c r="AA13" s="1">
        <v>164.4</v>
      </c>
      <c r="AB13" s="1">
        <v>166.9</v>
      </c>
      <c r="AC13" s="1">
        <v>168.8</v>
      </c>
      <c r="AD13" s="1">
        <v>166.8</v>
      </c>
      <c r="AE13" s="1">
        <v>170.1</v>
      </c>
    </row>
    <row r="14" spans="1:31" x14ac:dyDescent="0.25">
      <c r="A14" s="1" t="s">
        <v>33</v>
      </c>
      <c r="B14" s="1">
        <v>2021</v>
      </c>
      <c r="C14" s="1" t="s">
        <v>38</v>
      </c>
      <c r="D14" s="1" t="s">
        <v>182</v>
      </c>
      <c r="E14" s="1">
        <v>148.80000000000001</v>
      </c>
      <c r="F14" s="1">
        <v>204.3</v>
      </c>
      <c r="G14" s="1">
        <v>173</v>
      </c>
      <c r="H14" s="1">
        <v>156.5</v>
      </c>
      <c r="I14" s="1">
        <v>168.8</v>
      </c>
      <c r="J14" s="1">
        <v>172.5</v>
      </c>
      <c r="K14" s="1">
        <v>166.5</v>
      </c>
      <c r="L14" s="1">
        <v>165.9</v>
      </c>
      <c r="M14" s="1">
        <v>115.9</v>
      </c>
      <c r="N14" s="1">
        <v>165.2</v>
      </c>
      <c r="O14" s="1">
        <v>152</v>
      </c>
      <c r="P14" s="1">
        <v>171.1</v>
      </c>
      <c r="Q14" s="1">
        <v>164.2</v>
      </c>
      <c r="R14" s="1">
        <v>198.2</v>
      </c>
      <c r="S14" s="1">
        <v>156.5</v>
      </c>
      <c r="T14" s="1">
        <v>140.19999999999999</v>
      </c>
      <c r="U14" s="1">
        <v>154.1</v>
      </c>
      <c r="V14" s="1">
        <v>161.6</v>
      </c>
      <c r="W14" s="1">
        <v>155.5</v>
      </c>
      <c r="X14" s="1">
        <v>150.1</v>
      </c>
      <c r="Y14" s="1">
        <v>160.4</v>
      </c>
      <c r="Z14" s="1">
        <v>145</v>
      </c>
      <c r="AA14" s="1">
        <v>152.6</v>
      </c>
      <c r="AB14" s="1">
        <v>156.6</v>
      </c>
      <c r="AC14" s="1">
        <v>157.5</v>
      </c>
      <c r="AD14" s="1">
        <v>152.30000000000001</v>
      </c>
      <c r="AE14" s="1">
        <v>159.5</v>
      </c>
    </row>
    <row r="15" spans="1:31" x14ac:dyDescent="0.25">
      <c r="A15" s="1" t="s">
        <v>34</v>
      </c>
      <c r="B15" s="1">
        <v>2023</v>
      </c>
      <c r="C15" s="1" t="s">
        <v>38</v>
      </c>
      <c r="D15" s="1" t="s">
        <v>206</v>
      </c>
      <c r="E15" s="1">
        <v>173.7</v>
      </c>
      <c r="F15" s="1">
        <v>214.3</v>
      </c>
      <c r="G15" s="1">
        <v>173.2</v>
      </c>
      <c r="H15" s="1">
        <v>179.5</v>
      </c>
      <c r="I15" s="1">
        <v>170</v>
      </c>
      <c r="J15" s="1">
        <v>172.2</v>
      </c>
      <c r="K15" s="1">
        <v>161</v>
      </c>
      <c r="L15" s="1">
        <v>175.6</v>
      </c>
      <c r="M15" s="1">
        <v>122.7</v>
      </c>
      <c r="N15" s="1">
        <v>218</v>
      </c>
      <c r="O15" s="1">
        <v>173.4</v>
      </c>
      <c r="P15" s="1">
        <v>194.2</v>
      </c>
      <c r="Q15" s="1">
        <v>179.1</v>
      </c>
      <c r="R15" s="1">
        <v>201</v>
      </c>
      <c r="S15" s="1">
        <v>187.3</v>
      </c>
      <c r="T15" s="1">
        <v>179.7</v>
      </c>
      <c r="U15" s="1">
        <v>186.2</v>
      </c>
      <c r="V15" s="1">
        <v>175.6</v>
      </c>
      <c r="W15" s="1">
        <v>182.8</v>
      </c>
      <c r="X15" s="1">
        <v>175.2</v>
      </c>
      <c r="Y15" s="1">
        <v>185.7</v>
      </c>
      <c r="Z15" s="1">
        <v>164.8</v>
      </c>
      <c r="AA15" s="1">
        <v>171.2</v>
      </c>
      <c r="AB15" s="1">
        <v>177.1</v>
      </c>
      <c r="AC15" s="1">
        <v>185.2</v>
      </c>
      <c r="AD15" s="1">
        <v>175.7</v>
      </c>
      <c r="AE15" s="1">
        <v>179.1</v>
      </c>
    </row>
    <row r="16" spans="1:31" x14ac:dyDescent="0.25">
      <c r="A16" s="1" t="s">
        <v>33</v>
      </c>
      <c r="B16" s="1">
        <v>2023</v>
      </c>
      <c r="C16" s="1" t="s">
        <v>35</v>
      </c>
      <c r="D16" s="1" t="s">
        <v>203</v>
      </c>
      <c r="E16" s="1">
        <v>174.7</v>
      </c>
      <c r="F16" s="1">
        <v>212.2</v>
      </c>
      <c r="G16" s="1">
        <v>177.2</v>
      </c>
      <c r="H16" s="1">
        <v>177.9</v>
      </c>
      <c r="I16" s="1">
        <v>172.2</v>
      </c>
      <c r="J16" s="1">
        <v>172.1</v>
      </c>
      <c r="K16" s="1">
        <v>175.8</v>
      </c>
      <c r="L16" s="1">
        <v>172.2</v>
      </c>
      <c r="M16" s="1">
        <v>121.9</v>
      </c>
      <c r="N16" s="1">
        <v>204.8</v>
      </c>
      <c r="O16" s="1">
        <v>164.9</v>
      </c>
      <c r="P16" s="1">
        <v>196.6</v>
      </c>
      <c r="Q16" s="1">
        <v>180.7</v>
      </c>
      <c r="R16" s="1">
        <v>202.7</v>
      </c>
      <c r="S16" s="1">
        <v>180.3</v>
      </c>
      <c r="T16" s="1">
        <v>167</v>
      </c>
      <c r="U16" s="1">
        <v>178.2</v>
      </c>
      <c r="V16" s="1">
        <v>173.5</v>
      </c>
      <c r="W16" s="1">
        <v>182.8</v>
      </c>
      <c r="X16" s="1">
        <v>169.2</v>
      </c>
      <c r="Y16" s="1">
        <v>180.8</v>
      </c>
      <c r="Z16" s="1">
        <v>159.80000000000001</v>
      </c>
      <c r="AA16" s="1">
        <v>168.4</v>
      </c>
      <c r="AB16" s="1">
        <v>172.5</v>
      </c>
      <c r="AC16" s="1">
        <v>181.4</v>
      </c>
      <c r="AD16" s="1">
        <v>170</v>
      </c>
      <c r="AE16" s="1">
        <v>176.3</v>
      </c>
    </row>
    <row r="17" spans="1:31" x14ac:dyDescent="0.25">
      <c r="A17" s="1" t="s">
        <v>33</v>
      </c>
      <c r="B17" s="1">
        <v>2023</v>
      </c>
      <c r="C17" s="1" t="s">
        <v>36</v>
      </c>
      <c r="D17" s="1" t="s">
        <v>204</v>
      </c>
      <c r="E17" s="1">
        <v>174.7</v>
      </c>
      <c r="F17" s="1">
        <v>212.2</v>
      </c>
      <c r="G17" s="1">
        <v>177.2</v>
      </c>
      <c r="H17" s="1">
        <v>177.9</v>
      </c>
      <c r="I17" s="1">
        <v>172.2</v>
      </c>
      <c r="J17" s="1">
        <v>172.1</v>
      </c>
      <c r="K17" s="1">
        <v>175.9</v>
      </c>
      <c r="L17" s="1">
        <v>172.2</v>
      </c>
      <c r="M17" s="1">
        <v>121.9</v>
      </c>
      <c r="N17" s="1">
        <v>204.8</v>
      </c>
      <c r="O17" s="1">
        <v>164.9</v>
      </c>
      <c r="P17" s="1">
        <v>196.6</v>
      </c>
      <c r="Q17" s="1">
        <v>180.8</v>
      </c>
      <c r="R17" s="1">
        <v>202.7</v>
      </c>
      <c r="S17" s="1">
        <v>180.2</v>
      </c>
      <c r="T17" s="1">
        <v>167</v>
      </c>
      <c r="U17" s="1">
        <v>178.2</v>
      </c>
      <c r="V17" s="1">
        <v>173.5</v>
      </c>
      <c r="W17" s="1">
        <v>182.6</v>
      </c>
      <c r="X17" s="1">
        <v>169.2</v>
      </c>
      <c r="Y17" s="1">
        <v>180.8</v>
      </c>
      <c r="Z17" s="1">
        <v>159.80000000000001</v>
      </c>
      <c r="AA17" s="1">
        <v>168.4</v>
      </c>
      <c r="AB17" s="1">
        <v>172.5</v>
      </c>
      <c r="AC17" s="1">
        <v>181.5</v>
      </c>
      <c r="AD17" s="1">
        <v>170</v>
      </c>
      <c r="AE17" s="1">
        <v>176.3</v>
      </c>
    </row>
    <row r="18" spans="1:31" x14ac:dyDescent="0.25">
      <c r="A18" s="1" t="s">
        <v>33</v>
      </c>
      <c r="B18" s="1">
        <v>2021</v>
      </c>
      <c r="C18" s="1" t="s">
        <v>39</v>
      </c>
      <c r="D18" s="1" t="s">
        <v>183</v>
      </c>
      <c r="E18" s="1">
        <v>149.19999999999999</v>
      </c>
      <c r="F18" s="1">
        <v>205.5</v>
      </c>
      <c r="G18" s="1">
        <v>182.8</v>
      </c>
      <c r="H18" s="1">
        <v>156.5</v>
      </c>
      <c r="I18" s="1">
        <v>172.2</v>
      </c>
      <c r="J18" s="1">
        <v>171.5</v>
      </c>
      <c r="K18" s="1">
        <v>176.2</v>
      </c>
      <c r="L18" s="1">
        <v>166.9</v>
      </c>
      <c r="M18" s="1">
        <v>116.1</v>
      </c>
      <c r="N18" s="1">
        <v>165.5</v>
      </c>
      <c r="O18" s="1">
        <v>152.30000000000001</v>
      </c>
      <c r="P18" s="1">
        <v>173.3</v>
      </c>
      <c r="Q18" s="1">
        <v>166.2</v>
      </c>
      <c r="R18" s="1">
        <v>195.6</v>
      </c>
      <c r="S18" s="1">
        <v>157.30000000000001</v>
      </c>
      <c r="T18" s="1">
        <v>140.5</v>
      </c>
      <c r="U18" s="1">
        <v>154.80000000000001</v>
      </c>
      <c r="V18" s="1">
        <v>160.5</v>
      </c>
      <c r="W18" s="1">
        <v>156.1</v>
      </c>
      <c r="X18" s="1">
        <v>149.80000000000001</v>
      </c>
      <c r="Y18" s="1">
        <v>160.80000000000001</v>
      </c>
      <c r="Z18" s="1">
        <v>147.5</v>
      </c>
      <c r="AA18" s="1">
        <v>150.69999999999999</v>
      </c>
      <c r="AB18" s="1">
        <v>158.1</v>
      </c>
      <c r="AC18" s="1">
        <v>158</v>
      </c>
      <c r="AD18" s="1">
        <v>153.4</v>
      </c>
      <c r="AE18" s="1">
        <v>160.4</v>
      </c>
    </row>
    <row r="19" spans="1:31" x14ac:dyDescent="0.25">
      <c r="A19" s="1" t="s">
        <v>34</v>
      </c>
      <c r="B19" s="1">
        <v>2022</v>
      </c>
      <c r="C19" s="1" t="s">
        <v>38</v>
      </c>
      <c r="D19" s="1" t="s">
        <v>194</v>
      </c>
      <c r="E19" s="1">
        <v>154.1</v>
      </c>
      <c r="F19" s="1">
        <v>217</v>
      </c>
      <c r="G19" s="1">
        <v>162.4</v>
      </c>
      <c r="H19" s="1">
        <v>164.9</v>
      </c>
      <c r="I19" s="1">
        <v>202.4</v>
      </c>
      <c r="J19" s="1">
        <v>171</v>
      </c>
      <c r="K19" s="1">
        <v>174.9</v>
      </c>
      <c r="L19" s="1">
        <v>164.7</v>
      </c>
      <c r="M19" s="1">
        <v>119.7</v>
      </c>
      <c r="N19" s="1">
        <v>184.9</v>
      </c>
      <c r="O19" s="1">
        <v>167.1</v>
      </c>
      <c r="P19" s="1">
        <v>182.5</v>
      </c>
      <c r="Q19" s="1">
        <v>173.3</v>
      </c>
      <c r="R19" s="1">
        <v>194.1</v>
      </c>
      <c r="S19" s="1">
        <v>175.6</v>
      </c>
      <c r="T19" s="1">
        <v>168.4</v>
      </c>
      <c r="U19" s="1">
        <v>174.6</v>
      </c>
      <c r="V19" s="1">
        <v>167.5</v>
      </c>
      <c r="W19" s="1">
        <v>174.6</v>
      </c>
      <c r="X19" s="1">
        <v>165.2</v>
      </c>
      <c r="Y19" s="1">
        <v>174.8</v>
      </c>
      <c r="Z19" s="1">
        <v>163</v>
      </c>
      <c r="AA19" s="1">
        <v>165.1</v>
      </c>
      <c r="AB19" s="1">
        <v>167.9</v>
      </c>
      <c r="AC19" s="1">
        <v>168.4</v>
      </c>
      <c r="AD19" s="1">
        <v>167.5</v>
      </c>
      <c r="AE19" s="1">
        <v>171.7</v>
      </c>
    </row>
    <row r="20" spans="1:31" x14ac:dyDescent="0.25">
      <c r="A20" s="1" t="s">
        <v>33</v>
      </c>
      <c r="B20" s="1">
        <v>2021</v>
      </c>
      <c r="C20" s="1" t="s">
        <v>40</v>
      </c>
      <c r="D20" s="1" t="s">
        <v>184</v>
      </c>
      <c r="E20" s="1">
        <v>149.1</v>
      </c>
      <c r="F20" s="1">
        <v>210.9</v>
      </c>
      <c r="G20" s="1">
        <v>185</v>
      </c>
      <c r="H20" s="1">
        <v>158.19999999999999</v>
      </c>
      <c r="I20" s="1">
        <v>170.6</v>
      </c>
      <c r="J20" s="1">
        <v>170.9</v>
      </c>
      <c r="K20" s="1">
        <v>186.4</v>
      </c>
      <c r="L20" s="1">
        <v>164.7</v>
      </c>
      <c r="M20" s="1">
        <v>115.7</v>
      </c>
      <c r="N20" s="1">
        <v>165.5</v>
      </c>
      <c r="O20" s="1">
        <v>153.4</v>
      </c>
      <c r="P20" s="1">
        <v>173.5</v>
      </c>
      <c r="Q20" s="1">
        <v>167.9</v>
      </c>
      <c r="R20" s="1">
        <v>195.5</v>
      </c>
      <c r="S20" s="1">
        <v>157.9</v>
      </c>
      <c r="T20" s="1">
        <v>141.9</v>
      </c>
      <c r="U20" s="1">
        <v>155.5</v>
      </c>
      <c r="V20" s="1">
        <v>161.5</v>
      </c>
      <c r="W20" s="1">
        <v>157.69999999999999</v>
      </c>
      <c r="X20" s="1">
        <v>150.69999999999999</v>
      </c>
      <c r="Y20" s="1">
        <v>161.5</v>
      </c>
      <c r="Z20" s="1">
        <v>149.5</v>
      </c>
      <c r="AA20" s="1">
        <v>151.19999999999999</v>
      </c>
      <c r="AB20" s="1">
        <v>160.30000000000001</v>
      </c>
      <c r="AC20" s="1">
        <v>159.6</v>
      </c>
      <c r="AD20" s="1">
        <v>155</v>
      </c>
      <c r="AE20" s="1">
        <v>161.80000000000001</v>
      </c>
    </row>
    <row r="21" spans="1:31" x14ac:dyDescent="0.25">
      <c r="A21" s="1" t="s">
        <v>30</v>
      </c>
      <c r="B21" s="1">
        <v>2022</v>
      </c>
      <c r="C21" s="1" t="s">
        <v>37</v>
      </c>
      <c r="D21" s="1" t="s">
        <v>193</v>
      </c>
      <c r="E21" s="1">
        <v>151.80000000000001</v>
      </c>
      <c r="F21" s="1">
        <v>209.7</v>
      </c>
      <c r="G21" s="1">
        <v>164.5</v>
      </c>
      <c r="H21" s="1">
        <v>163.80000000000001</v>
      </c>
      <c r="I21" s="1">
        <v>207.4</v>
      </c>
      <c r="J21" s="1">
        <v>169.7</v>
      </c>
      <c r="K21" s="1">
        <v>153.6</v>
      </c>
      <c r="L21" s="1">
        <v>165.1</v>
      </c>
      <c r="M21" s="1">
        <v>118.2</v>
      </c>
      <c r="N21" s="1">
        <v>182.9</v>
      </c>
      <c r="O21" s="1">
        <v>172.4</v>
      </c>
      <c r="P21" s="1">
        <v>178.9</v>
      </c>
      <c r="Q21" s="1">
        <v>168.6</v>
      </c>
      <c r="R21" s="1">
        <v>192.8</v>
      </c>
      <c r="S21" s="1">
        <v>177.5</v>
      </c>
      <c r="T21" s="1">
        <v>175.1</v>
      </c>
      <c r="U21" s="1">
        <v>177.1</v>
      </c>
      <c r="V21" s="14">
        <f>VLOOKUP($D21,Notes!$B$2:$C$229,2,0)</f>
        <v>167</v>
      </c>
      <c r="W21" s="1">
        <v>173.3</v>
      </c>
      <c r="X21" s="1">
        <v>167.7</v>
      </c>
      <c r="Y21" s="1">
        <v>177</v>
      </c>
      <c r="Z21" s="1">
        <v>166.2</v>
      </c>
      <c r="AA21" s="1">
        <v>167.2</v>
      </c>
      <c r="AB21" s="1">
        <v>170.9</v>
      </c>
      <c r="AC21" s="1">
        <v>169</v>
      </c>
      <c r="AD21" s="1">
        <v>170.2</v>
      </c>
      <c r="AE21" s="1">
        <v>170.8</v>
      </c>
    </row>
    <row r="22" spans="1:31" x14ac:dyDescent="0.25">
      <c r="A22" s="1" t="s">
        <v>34</v>
      </c>
      <c r="B22" s="1">
        <v>2022</v>
      </c>
      <c r="C22" s="1" t="s">
        <v>39</v>
      </c>
      <c r="D22" s="1" t="s">
        <v>195</v>
      </c>
      <c r="E22" s="1">
        <v>155</v>
      </c>
      <c r="F22" s="1">
        <v>219.4</v>
      </c>
      <c r="G22" s="1">
        <v>170.8</v>
      </c>
      <c r="H22" s="1">
        <v>165.8</v>
      </c>
      <c r="I22" s="1">
        <v>200.9</v>
      </c>
      <c r="J22" s="1">
        <v>169.7</v>
      </c>
      <c r="K22" s="1">
        <v>182.3</v>
      </c>
      <c r="L22" s="1">
        <v>164.3</v>
      </c>
      <c r="M22" s="1">
        <v>119.9</v>
      </c>
      <c r="N22" s="1">
        <v>187.1</v>
      </c>
      <c r="O22" s="1">
        <v>167.9</v>
      </c>
      <c r="P22" s="1">
        <v>183.9</v>
      </c>
      <c r="Q22" s="1">
        <v>174.9</v>
      </c>
      <c r="R22" s="1">
        <v>194.3</v>
      </c>
      <c r="S22" s="1">
        <v>177.1</v>
      </c>
      <c r="T22" s="1">
        <v>169.9</v>
      </c>
      <c r="U22" s="1">
        <v>176</v>
      </c>
      <c r="V22" s="1">
        <v>166.8</v>
      </c>
      <c r="W22" s="1">
        <v>176</v>
      </c>
      <c r="X22" s="1">
        <v>166.4</v>
      </c>
      <c r="Y22" s="1">
        <v>175.4</v>
      </c>
      <c r="Z22" s="1">
        <v>161.1</v>
      </c>
      <c r="AA22" s="1">
        <v>165.8</v>
      </c>
      <c r="AB22" s="1">
        <v>169</v>
      </c>
      <c r="AC22" s="1">
        <v>169.4</v>
      </c>
      <c r="AD22" s="1">
        <v>167.5</v>
      </c>
      <c r="AE22" s="1">
        <v>172.6</v>
      </c>
    </row>
    <row r="23" spans="1:31" x14ac:dyDescent="0.25">
      <c r="A23" s="1" t="s">
        <v>30</v>
      </c>
      <c r="B23" s="1">
        <v>2022</v>
      </c>
      <c r="C23" s="1" t="s">
        <v>40</v>
      </c>
      <c r="D23" s="1" t="s">
        <v>196</v>
      </c>
      <c r="E23" s="1">
        <v>155.19999999999999</v>
      </c>
      <c r="F23" s="1">
        <v>210.8</v>
      </c>
      <c r="G23" s="1">
        <v>174.3</v>
      </c>
      <c r="H23" s="1">
        <v>166.3</v>
      </c>
      <c r="I23" s="1">
        <v>202.2</v>
      </c>
      <c r="J23" s="1">
        <v>169.6</v>
      </c>
      <c r="K23" s="1">
        <v>168.6</v>
      </c>
      <c r="L23" s="1">
        <v>164.4</v>
      </c>
      <c r="M23" s="1">
        <v>119.2</v>
      </c>
      <c r="N23" s="1">
        <v>191.8</v>
      </c>
      <c r="O23" s="1">
        <v>174.5</v>
      </c>
      <c r="P23" s="1">
        <v>183.1</v>
      </c>
      <c r="Q23" s="1">
        <v>172.5</v>
      </c>
      <c r="R23" s="1">
        <v>193.2</v>
      </c>
      <c r="S23" s="1">
        <v>182</v>
      </c>
      <c r="T23" s="1">
        <v>180.3</v>
      </c>
      <c r="U23" s="1">
        <v>181.7</v>
      </c>
      <c r="V23" s="14">
        <f>VLOOKUP($D23,Notes!$B$2:$C$229,2,0)</f>
        <v>167.8</v>
      </c>
      <c r="W23" s="1">
        <v>179.6</v>
      </c>
      <c r="X23" s="1">
        <v>171.3</v>
      </c>
      <c r="Y23" s="1">
        <v>178.8</v>
      </c>
      <c r="Z23" s="1">
        <v>166.3</v>
      </c>
      <c r="AA23" s="1">
        <v>168.6</v>
      </c>
      <c r="AB23" s="1">
        <v>174.7</v>
      </c>
      <c r="AC23" s="1">
        <v>169.7</v>
      </c>
      <c r="AD23" s="1">
        <v>171.8</v>
      </c>
      <c r="AE23" s="1">
        <v>174.3</v>
      </c>
    </row>
    <row r="24" spans="1:31" x14ac:dyDescent="0.25">
      <c r="A24" s="1" t="s">
        <v>34</v>
      </c>
      <c r="B24" s="1">
        <v>2023</v>
      </c>
      <c r="C24" s="1" t="s">
        <v>35</v>
      </c>
      <c r="D24" s="1" t="s">
        <v>203</v>
      </c>
      <c r="E24" s="1">
        <v>174.4</v>
      </c>
      <c r="F24" s="1">
        <v>207.7</v>
      </c>
      <c r="G24" s="1">
        <v>175.2</v>
      </c>
      <c r="H24" s="1">
        <v>177.3</v>
      </c>
      <c r="I24" s="1">
        <v>179.3</v>
      </c>
      <c r="J24" s="1">
        <v>169.5</v>
      </c>
      <c r="K24" s="1">
        <v>152.69999999999999</v>
      </c>
      <c r="L24" s="1">
        <v>171</v>
      </c>
      <c r="M24" s="1">
        <v>120</v>
      </c>
      <c r="N24" s="1">
        <v>209.7</v>
      </c>
      <c r="O24" s="1">
        <v>172.3</v>
      </c>
      <c r="P24" s="1">
        <v>193</v>
      </c>
      <c r="Q24" s="1">
        <v>177</v>
      </c>
      <c r="R24" s="1">
        <v>199.5</v>
      </c>
      <c r="S24" s="1">
        <v>186.2</v>
      </c>
      <c r="T24" s="1">
        <v>178.7</v>
      </c>
      <c r="U24" s="1">
        <v>185.1</v>
      </c>
      <c r="V24" s="1">
        <v>173.5</v>
      </c>
      <c r="W24" s="1">
        <v>182.1</v>
      </c>
      <c r="X24" s="1">
        <v>174.2</v>
      </c>
      <c r="Y24" s="1">
        <v>184.4</v>
      </c>
      <c r="Z24" s="1">
        <v>164.2</v>
      </c>
      <c r="AA24" s="1">
        <v>170.3</v>
      </c>
      <c r="AB24" s="1">
        <v>175</v>
      </c>
      <c r="AC24" s="1">
        <v>181</v>
      </c>
      <c r="AD24" s="1">
        <v>174.1</v>
      </c>
      <c r="AE24" s="1">
        <v>177.2</v>
      </c>
    </row>
    <row r="25" spans="1:31" x14ac:dyDescent="0.25">
      <c r="A25" s="1" t="s">
        <v>34</v>
      </c>
      <c r="B25" s="1">
        <v>2023</v>
      </c>
      <c r="C25" s="1" t="s">
        <v>36</v>
      </c>
      <c r="D25" s="1" t="s">
        <v>204</v>
      </c>
      <c r="E25" s="1">
        <v>174.4</v>
      </c>
      <c r="F25" s="1">
        <v>207.7</v>
      </c>
      <c r="G25" s="1">
        <v>175.2</v>
      </c>
      <c r="H25" s="1">
        <v>177.3</v>
      </c>
      <c r="I25" s="1">
        <v>179.2</v>
      </c>
      <c r="J25" s="1">
        <v>169.5</v>
      </c>
      <c r="K25" s="1">
        <v>152.80000000000001</v>
      </c>
      <c r="L25" s="1">
        <v>171.1</v>
      </c>
      <c r="M25" s="1">
        <v>120</v>
      </c>
      <c r="N25" s="1">
        <v>209.7</v>
      </c>
      <c r="O25" s="1">
        <v>172.3</v>
      </c>
      <c r="P25" s="1">
        <v>193</v>
      </c>
      <c r="Q25" s="1">
        <v>177</v>
      </c>
      <c r="R25" s="1">
        <v>199.5</v>
      </c>
      <c r="S25" s="1">
        <v>186.1</v>
      </c>
      <c r="T25" s="1">
        <v>178.7</v>
      </c>
      <c r="U25" s="1">
        <v>185.1</v>
      </c>
      <c r="V25" s="1">
        <v>173.5</v>
      </c>
      <c r="W25" s="1">
        <v>181.9</v>
      </c>
      <c r="X25" s="1">
        <v>174.2</v>
      </c>
      <c r="Y25" s="1">
        <v>184.4</v>
      </c>
      <c r="Z25" s="1">
        <v>164.2</v>
      </c>
      <c r="AA25" s="1">
        <v>170.3</v>
      </c>
      <c r="AB25" s="1">
        <v>175</v>
      </c>
      <c r="AC25" s="1">
        <v>181</v>
      </c>
      <c r="AD25" s="1">
        <v>174.1</v>
      </c>
      <c r="AE25" s="1">
        <v>177.2</v>
      </c>
    </row>
    <row r="26" spans="1:31" x14ac:dyDescent="0.25">
      <c r="A26" s="1" t="s">
        <v>30</v>
      </c>
      <c r="B26" s="1">
        <v>2022</v>
      </c>
      <c r="C26" s="1" t="s">
        <v>41</v>
      </c>
      <c r="D26" s="1" t="s">
        <v>197</v>
      </c>
      <c r="E26" s="1">
        <v>159.5</v>
      </c>
      <c r="F26" s="1">
        <v>204.1</v>
      </c>
      <c r="G26" s="1">
        <v>168.3</v>
      </c>
      <c r="H26" s="1">
        <v>167.9</v>
      </c>
      <c r="I26" s="1">
        <v>198.1</v>
      </c>
      <c r="J26" s="1">
        <v>169.2</v>
      </c>
      <c r="K26" s="1">
        <v>173.1</v>
      </c>
      <c r="L26" s="1">
        <v>167.1</v>
      </c>
      <c r="M26" s="1">
        <v>120.2</v>
      </c>
      <c r="N26" s="1">
        <v>195.6</v>
      </c>
      <c r="O26" s="1">
        <v>174.8</v>
      </c>
      <c r="P26" s="1">
        <v>184</v>
      </c>
      <c r="Q26" s="1">
        <v>173.9</v>
      </c>
      <c r="R26" s="1">
        <v>193.7</v>
      </c>
      <c r="S26" s="1">
        <v>183.2</v>
      </c>
      <c r="T26" s="1">
        <v>181.7</v>
      </c>
      <c r="U26" s="1">
        <v>183</v>
      </c>
      <c r="V26" s="14">
        <f>VLOOKUP($D26,Notes!$B$2:$C$229,2,0)</f>
        <v>169</v>
      </c>
      <c r="W26" s="1">
        <v>179.1</v>
      </c>
      <c r="X26" s="1">
        <v>172.3</v>
      </c>
      <c r="Y26" s="1">
        <v>179.4</v>
      </c>
      <c r="Z26" s="1">
        <v>166.6</v>
      </c>
      <c r="AA26" s="1">
        <v>169.3</v>
      </c>
      <c r="AB26" s="1">
        <v>175.7</v>
      </c>
      <c r="AC26" s="1">
        <v>171.1</v>
      </c>
      <c r="AD26" s="1">
        <v>172.6</v>
      </c>
      <c r="AE26" s="1">
        <v>175.3</v>
      </c>
    </row>
    <row r="27" spans="1:31" x14ac:dyDescent="0.25">
      <c r="A27" s="1" t="s">
        <v>30</v>
      </c>
      <c r="B27" s="1">
        <v>2023</v>
      </c>
      <c r="C27" s="1" t="s">
        <v>38</v>
      </c>
      <c r="D27" s="1" t="s">
        <v>206</v>
      </c>
      <c r="E27" s="1">
        <v>173.2</v>
      </c>
      <c r="F27" s="1">
        <v>211.5</v>
      </c>
      <c r="G27" s="1">
        <v>171</v>
      </c>
      <c r="H27" s="1">
        <v>179.6</v>
      </c>
      <c r="I27" s="1">
        <v>173.3</v>
      </c>
      <c r="J27" s="1">
        <v>169</v>
      </c>
      <c r="K27" s="1">
        <v>148.69999999999999</v>
      </c>
      <c r="L27" s="1">
        <v>174.9</v>
      </c>
      <c r="M27" s="1">
        <v>121.9</v>
      </c>
      <c r="N27" s="1">
        <v>221</v>
      </c>
      <c r="O27" s="1">
        <v>178.7</v>
      </c>
      <c r="P27" s="1">
        <v>191.1</v>
      </c>
      <c r="Q27" s="1">
        <v>176.8</v>
      </c>
      <c r="R27" s="1">
        <v>199.9</v>
      </c>
      <c r="S27" s="1">
        <v>191.2</v>
      </c>
      <c r="T27" s="1">
        <v>187.9</v>
      </c>
      <c r="U27" s="1">
        <v>190.8</v>
      </c>
      <c r="V27" s="14">
        <v>175.6</v>
      </c>
      <c r="W27" s="1">
        <v>182.5</v>
      </c>
      <c r="X27" s="1">
        <v>179.8</v>
      </c>
      <c r="Y27" s="1">
        <v>187.8</v>
      </c>
      <c r="Z27" s="1">
        <v>169.7</v>
      </c>
      <c r="AA27" s="1">
        <v>173.8</v>
      </c>
      <c r="AB27" s="1">
        <v>180.3</v>
      </c>
      <c r="AC27" s="1">
        <v>184.9</v>
      </c>
      <c r="AD27" s="1">
        <v>179.5</v>
      </c>
      <c r="AE27" s="1">
        <v>179.8</v>
      </c>
    </row>
    <row r="28" spans="1:31" x14ac:dyDescent="0.25">
      <c r="A28" s="1" t="s">
        <v>33</v>
      </c>
      <c r="B28" s="1">
        <v>2021</v>
      </c>
      <c r="C28" s="1" t="s">
        <v>37</v>
      </c>
      <c r="D28" s="1" t="s">
        <v>181</v>
      </c>
      <c r="E28" s="1">
        <v>147.6</v>
      </c>
      <c r="F28" s="1">
        <v>202.5</v>
      </c>
      <c r="G28" s="1">
        <v>166.4</v>
      </c>
      <c r="H28" s="1">
        <v>156</v>
      </c>
      <c r="I28" s="1">
        <v>161.4</v>
      </c>
      <c r="J28" s="1">
        <v>168.8</v>
      </c>
      <c r="K28" s="1">
        <v>161.6</v>
      </c>
      <c r="L28" s="1">
        <v>162.80000000000001</v>
      </c>
      <c r="M28" s="1">
        <v>114.8</v>
      </c>
      <c r="N28" s="1">
        <v>162.80000000000001</v>
      </c>
      <c r="O28" s="1">
        <v>151.5</v>
      </c>
      <c r="P28" s="1">
        <v>171.4</v>
      </c>
      <c r="Q28" s="1">
        <v>162</v>
      </c>
      <c r="R28" s="1">
        <v>194.4</v>
      </c>
      <c r="S28" s="1">
        <v>155.9</v>
      </c>
      <c r="T28" s="1">
        <v>139.30000000000001</v>
      </c>
      <c r="U28" s="1">
        <v>153.4</v>
      </c>
      <c r="V28" s="1">
        <v>161.4</v>
      </c>
      <c r="W28" s="1">
        <v>154.9</v>
      </c>
      <c r="X28" s="1">
        <v>147.6</v>
      </c>
      <c r="Y28" s="1">
        <v>157.5</v>
      </c>
      <c r="Z28" s="1">
        <v>142.1</v>
      </c>
      <c r="AA28" s="1">
        <v>149.1</v>
      </c>
      <c r="AB28" s="1">
        <v>157.6</v>
      </c>
      <c r="AC28" s="1">
        <v>156.6</v>
      </c>
      <c r="AD28" s="1">
        <v>150.5</v>
      </c>
      <c r="AE28" s="1">
        <v>158</v>
      </c>
    </row>
    <row r="29" spans="1:31" x14ac:dyDescent="0.25">
      <c r="A29" s="1" t="s">
        <v>30</v>
      </c>
      <c r="B29" s="1">
        <v>2022</v>
      </c>
      <c r="C29" s="1" t="s">
        <v>38</v>
      </c>
      <c r="D29" s="1" t="s">
        <v>194</v>
      </c>
      <c r="E29" s="1">
        <v>152.9</v>
      </c>
      <c r="F29" s="1">
        <v>214.7</v>
      </c>
      <c r="G29" s="1">
        <v>161.4</v>
      </c>
      <c r="H29" s="1">
        <v>164.6</v>
      </c>
      <c r="I29" s="1">
        <v>209.9</v>
      </c>
      <c r="J29" s="1">
        <v>168</v>
      </c>
      <c r="K29" s="1">
        <v>160.4</v>
      </c>
      <c r="L29" s="1">
        <v>165</v>
      </c>
      <c r="M29" s="1">
        <v>118.9</v>
      </c>
      <c r="N29" s="1">
        <v>186.6</v>
      </c>
      <c r="O29" s="1">
        <v>173.2</v>
      </c>
      <c r="P29" s="1">
        <v>180.4</v>
      </c>
      <c r="Q29" s="1">
        <v>170.8</v>
      </c>
      <c r="R29" s="1">
        <v>192.9</v>
      </c>
      <c r="S29" s="1">
        <v>179.3</v>
      </c>
      <c r="T29" s="1">
        <v>177.2</v>
      </c>
      <c r="U29" s="1">
        <v>179</v>
      </c>
      <c r="V29" s="14">
        <f>VLOOKUP($D29,Notes!$B$2:$C$229,2,0)</f>
        <v>167.5</v>
      </c>
      <c r="W29" s="1">
        <v>175.3</v>
      </c>
      <c r="X29" s="1">
        <v>168.9</v>
      </c>
      <c r="Y29" s="1">
        <v>177.7</v>
      </c>
      <c r="Z29" s="1">
        <v>167.1</v>
      </c>
      <c r="AA29" s="1">
        <v>167.6</v>
      </c>
      <c r="AB29" s="1">
        <v>171.8</v>
      </c>
      <c r="AC29" s="1">
        <v>168.5</v>
      </c>
      <c r="AD29" s="1">
        <v>170.9</v>
      </c>
      <c r="AE29" s="1">
        <v>172.5</v>
      </c>
    </row>
    <row r="30" spans="1:31" x14ac:dyDescent="0.25">
      <c r="A30" s="1" t="s">
        <v>33</v>
      </c>
      <c r="B30" s="1">
        <v>2022</v>
      </c>
      <c r="C30" s="1" t="s">
        <v>42</v>
      </c>
      <c r="D30" s="1" t="s">
        <v>198</v>
      </c>
      <c r="E30" s="1">
        <v>164.9</v>
      </c>
      <c r="F30" s="1">
        <v>213.7</v>
      </c>
      <c r="G30" s="1">
        <v>170.9</v>
      </c>
      <c r="H30" s="1">
        <v>170.1</v>
      </c>
      <c r="I30" s="1">
        <v>179.3</v>
      </c>
      <c r="J30" s="1">
        <v>167.5</v>
      </c>
      <c r="K30" s="1">
        <v>220.8</v>
      </c>
      <c r="L30" s="1">
        <v>169.2</v>
      </c>
      <c r="M30" s="1">
        <v>123.1</v>
      </c>
      <c r="N30" s="1">
        <v>193.6</v>
      </c>
      <c r="O30" s="1">
        <v>161.1</v>
      </c>
      <c r="P30" s="1">
        <v>190.4</v>
      </c>
      <c r="Q30" s="1">
        <v>181.8</v>
      </c>
      <c r="R30" s="1">
        <v>199.7</v>
      </c>
      <c r="S30" s="1">
        <v>175</v>
      </c>
      <c r="T30" s="1">
        <v>161.69999999999999</v>
      </c>
      <c r="U30" s="1">
        <v>173</v>
      </c>
      <c r="V30" s="1">
        <v>169.5</v>
      </c>
      <c r="W30" s="1">
        <v>179.2</v>
      </c>
      <c r="X30" s="1">
        <v>165</v>
      </c>
      <c r="Y30" s="1">
        <v>173.8</v>
      </c>
      <c r="Z30" s="1">
        <v>158.19999999999999</v>
      </c>
      <c r="AA30" s="1">
        <v>165.8</v>
      </c>
      <c r="AB30" s="1">
        <v>170.9</v>
      </c>
      <c r="AC30" s="1">
        <v>171.1</v>
      </c>
      <c r="AD30" s="1">
        <v>166.1</v>
      </c>
      <c r="AE30" s="1">
        <v>174.1</v>
      </c>
    </row>
    <row r="31" spans="1:31" x14ac:dyDescent="0.25">
      <c r="A31" s="1" t="s">
        <v>30</v>
      </c>
      <c r="B31" s="1">
        <v>2023</v>
      </c>
      <c r="C31" s="1" t="s">
        <v>35</v>
      </c>
      <c r="D31" s="1" t="s">
        <v>203</v>
      </c>
      <c r="E31" s="1">
        <v>174.2</v>
      </c>
      <c r="F31" s="1">
        <v>205.2</v>
      </c>
      <c r="G31" s="1">
        <v>173.9</v>
      </c>
      <c r="H31" s="1">
        <v>177</v>
      </c>
      <c r="I31" s="1">
        <v>183.4</v>
      </c>
      <c r="J31" s="1">
        <v>167.2</v>
      </c>
      <c r="K31" s="1">
        <v>140.9</v>
      </c>
      <c r="L31" s="1">
        <v>170.4</v>
      </c>
      <c r="M31" s="1">
        <v>119.1</v>
      </c>
      <c r="N31" s="1">
        <v>212.1</v>
      </c>
      <c r="O31" s="1">
        <v>177.6</v>
      </c>
      <c r="P31" s="1">
        <v>189.9</v>
      </c>
      <c r="Q31" s="1">
        <v>174.8</v>
      </c>
      <c r="R31" s="1">
        <v>198.3</v>
      </c>
      <c r="S31" s="1">
        <v>190</v>
      </c>
      <c r="T31" s="1">
        <v>187</v>
      </c>
      <c r="U31" s="1">
        <v>189.6</v>
      </c>
      <c r="V31" s="14">
        <f>VLOOKUP($D31,Notes!$B$2:$C$229,2,0)</f>
        <v>173.5</v>
      </c>
      <c r="W31" s="1">
        <v>181.6</v>
      </c>
      <c r="X31" s="1">
        <v>178.6</v>
      </c>
      <c r="Y31" s="1">
        <v>186.6</v>
      </c>
      <c r="Z31" s="1">
        <v>169</v>
      </c>
      <c r="AA31" s="1">
        <v>172.8</v>
      </c>
      <c r="AB31" s="1">
        <v>178.5</v>
      </c>
      <c r="AC31" s="1">
        <v>180.7</v>
      </c>
      <c r="AD31" s="1">
        <v>177.9</v>
      </c>
      <c r="AE31" s="1">
        <v>178</v>
      </c>
    </row>
    <row r="32" spans="1:31" x14ac:dyDescent="0.25">
      <c r="A32" s="1" t="s">
        <v>30</v>
      </c>
      <c r="B32" s="1">
        <v>2023</v>
      </c>
      <c r="C32" s="1" t="s">
        <v>36</v>
      </c>
      <c r="D32" s="1" t="s">
        <v>204</v>
      </c>
      <c r="E32" s="1">
        <v>174.3</v>
      </c>
      <c r="F32" s="1">
        <v>205.2</v>
      </c>
      <c r="G32" s="1">
        <v>173.9</v>
      </c>
      <c r="H32" s="1">
        <v>177</v>
      </c>
      <c r="I32" s="1">
        <v>183.3</v>
      </c>
      <c r="J32" s="1">
        <v>167.2</v>
      </c>
      <c r="K32" s="1">
        <v>140.9</v>
      </c>
      <c r="L32" s="1">
        <v>170.5</v>
      </c>
      <c r="M32" s="1">
        <v>119.1</v>
      </c>
      <c r="N32" s="1">
        <v>212.1</v>
      </c>
      <c r="O32" s="1">
        <v>177.6</v>
      </c>
      <c r="P32" s="1">
        <v>189.9</v>
      </c>
      <c r="Q32" s="1">
        <v>174.8</v>
      </c>
      <c r="R32" s="1">
        <v>198.4</v>
      </c>
      <c r="S32" s="1">
        <v>190</v>
      </c>
      <c r="T32" s="1">
        <v>187</v>
      </c>
      <c r="U32" s="1">
        <v>189.6</v>
      </c>
      <c r="V32" s="14">
        <f>VLOOKUP($D32,Notes!$B$2:$C$229,2,0)</f>
        <v>173.5</v>
      </c>
      <c r="W32" s="1">
        <v>181.4</v>
      </c>
      <c r="X32" s="1">
        <v>178.6</v>
      </c>
      <c r="Y32" s="1">
        <v>186.6</v>
      </c>
      <c r="Z32" s="1">
        <v>169</v>
      </c>
      <c r="AA32" s="1">
        <v>172.8</v>
      </c>
      <c r="AB32" s="1">
        <v>178.5</v>
      </c>
      <c r="AC32" s="1">
        <v>180.7</v>
      </c>
      <c r="AD32" s="1">
        <v>177.9</v>
      </c>
      <c r="AE32" s="1">
        <v>178</v>
      </c>
    </row>
    <row r="33" spans="1:31" x14ac:dyDescent="0.25">
      <c r="A33" s="1" t="s">
        <v>34</v>
      </c>
      <c r="B33" s="1">
        <v>2021</v>
      </c>
      <c r="C33" s="1" t="s">
        <v>38</v>
      </c>
      <c r="D33" s="1" t="s">
        <v>182</v>
      </c>
      <c r="E33" s="1">
        <v>146.30000000000001</v>
      </c>
      <c r="F33" s="1">
        <v>200.5</v>
      </c>
      <c r="G33" s="1">
        <v>170.3</v>
      </c>
      <c r="H33" s="1">
        <v>156.1</v>
      </c>
      <c r="I33" s="1">
        <v>178.7</v>
      </c>
      <c r="J33" s="1">
        <v>167.1</v>
      </c>
      <c r="K33" s="1">
        <v>147.9</v>
      </c>
      <c r="L33" s="1">
        <v>165.4</v>
      </c>
      <c r="M33" s="1">
        <v>114.8</v>
      </c>
      <c r="N33" s="1">
        <v>168.2</v>
      </c>
      <c r="O33" s="1">
        <v>159.30000000000001</v>
      </c>
      <c r="P33" s="1">
        <v>170.4</v>
      </c>
      <c r="Q33" s="1">
        <v>160.69999999999999</v>
      </c>
      <c r="R33" s="1">
        <v>191.9</v>
      </c>
      <c r="S33" s="1">
        <v>161.80000000000001</v>
      </c>
      <c r="T33" s="1">
        <v>152.1</v>
      </c>
      <c r="U33" s="1">
        <v>160.4</v>
      </c>
      <c r="V33" s="1">
        <v>161.6</v>
      </c>
      <c r="W33" s="1">
        <v>159.4</v>
      </c>
      <c r="X33" s="1">
        <v>154.69999999999999</v>
      </c>
      <c r="Y33" s="1">
        <v>165.8</v>
      </c>
      <c r="Z33" s="1">
        <v>148.9</v>
      </c>
      <c r="AA33" s="1">
        <v>155.80000000000001</v>
      </c>
      <c r="AB33" s="1">
        <v>161.19999999999999</v>
      </c>
      <c r="AC33" s="1">
        <v>158.6</v>
      </c>
      <c r="AD33" s="1">
        <v>156.80000000000001</v>
      </c>
      <c r="AE33" s="1">
        <v>160.4</v>
      </c>
    </row>
    <row r="34" spans="1:31" x14ac:dyDescent="0.25">
      <c r="A34" s="1" t="s">
        <v>30</v>
      </c>
      <c r="B34" s="1">
        <v>2022</v>
      </c>
      <c r="C34" s="1" t="s">
        <v>39</v>
      </c>
      <c r="D34" s="1" t="s">
        <v>195</v>
      </c>
      <c r="E34" s="1">
        <v>153.80000000000001</v>
      </c>
      <c r="F34" s="1">
        <v>217.2</v>
      </c>
      <c r="G34" s="1">
        <v>169.6</v>
      </c>
      <c r="H34" s="1">
        <v>165.4</v>
      </c>
      <c r="I34" s="1">
        <v>208.1</v>
      </c>
      <c r="J34" s="1">
        <v>165.8</v>
      </c>
      <c r="K34" s="1">
        <v>167.3</v>
      </c>
      <c r="L34" s="1">
        <v>164.6</v>
      </c>
      <c r="M34" s="1">
        <v>119.1</v>
      </c>
      <c r="N34" s="1">
        <v>188.9</v>
      </c>
      <c r="O34" s="1">
        <v>174.2</v>
      </c>
      <c r="P34" s="1">
        <v>181.9</v>
      </c>
      <c r="Q34" s="1">
        <v>172.4</v>
      </c>
      <c r="R34" s="1">
        <v>192.9</v>
      </c>
      <c r="S34" s="1">
        <v>180.7</v>
      </c>
      <c r="T34" s="1">
        <v>178.7</v>
      </c>
      <c r="U34" s="1">
        <v>180.4</v>
      </c>
      <c r="V34" s="14">
        <f>VLOOKUP($D34,Notes!$B$2:$C$229,2,0)</f>
        <v>166.8</v>
      </c>
      <c r="W34" s="1">
        <v>176.7</v>
      </c>
      <c r="X34" s="1">
        <v>170.3</v>
      </c>
      <c r="Y34" s="1">
        <v>178.2</v>
      </c>
      <c r="Z34" s="1">
        <v>165.5</v>
      </c>
      <c r="AA34" s="1">
        <v>168</v>
      </c>
      <c r="AB34" s="1">
        <v>172.6</v>
      </c>
      <c r="AC34" s="1">
        <v>169.5</v>
      </c>
      <c r="AD34" s="1">
        <v>171</v>
      </c>
      <c r="AE34" s="1">
        <v>173.6</v>
      </c>
    </row>
    <row r="35" spans="1:31" x14ac:dyDescent="0.25">
      <c r="A35" s="1" t="s">
        <v>34</v>
      </c>
      <c r="B35" s="1">
        <v>2022</v>
      </c>
      <c r="C35" s="1" t="s">
        <v>42</v>
      </c>
      <c r="D35" s="1" t="s">
        <v>198</v>
      </c>
      <c r="E35" s="1">
        <v>163.5</v>
      </c>
      <c r="F35" s="1">
        <v>209.2</v>
      </c>
      <c r="G35" s="1">
        <v>169.7</v>
      </c>
      <c r="H35" s="1">
        <v>169.7</v>
      </c>
      <c r="I35" s="1">
        <v>188.7</v>
      </c>
      <c r="J35" s="1">
        <v>165.7</v>
      </c>
      <c r="K35" s="1">
        <v>191.8</v>
      </c>
      <c r="L35" s="1">
        <v>169.1</v>
      </c>
      <c r="M35" s="1">
        <v>121.6</v>
      </c>
      <c r="N35" s="1">
        <v>197.3</v>
      </c>
      <c r="O35" s="1">
        <v>169.4</v>
      </c>
      <c r="P35" s="1">
        <v>187.4</v>
      </c>
      <c r="Q35" s="1">
        <v>177.8</v>
      </c>
      <c r="R35" s="1">
        <v>195.9</v>
      </c>
      <c r="S35" s="1">
        <v>180.9</v>
      </c>
      <c r="T35" s="1">
        <v>174.3</v>
      </c>
      <c r="U35" s="1">
        <v>179.9</v>
      </c>
      <c r="V35" s="1">
        <v>169.5</v>
      </c>
      <c r="W35" s="1">
        <v>179.5</v>
      </c>
      <c r="X35" s="1">
        <v>169.5</v>
      </c>
      <c r="Y35" s="1">
        <v>177.8</v>
      </c>
      <c r="Z35" s="1">
        <v>162.30000000000001</v>
      </c>
      <c r="AA35" s="1">
        <v>167.6</v>
      </c>
      <c r="AB35" s="1">
        <v>173.1</v>
      </c>
      <c r="AC35" s="1">
        <v>170.9</v>
      </c>
      <c r="AD35" s="1">
        <v>169.7</v>
      </c>
      <c r="AE35" s="1">
        <v>175.3</v>
      </c>
    </row>
    <row r="36" spans="1:31" x14ac:dyDescent="0.25">
      <c r="A36" s="1" t="s">
        <v>33</v>
      </c>
      <c r="B36" s="1">
        <v>2022</v>
      </c>
      <c r="C36" s="1" t="s">
        <v>43</v>
      </c>
      <c r="D36" s="1" t="s">
        <v>199</v>
      </c>
      <c r="E36" s="1">
        <v>166.4</v>
      </c>
      <c r="F36" s="1">
        <v>214.9</v>
      </c>
      <c r="G36" s="1">
        <v>171.9</v>
      </c>
      <c r="H36" s="1">
        <v>171</v>
      </c>
      <c r="I36" s="1">
        <v>177.7</v>
      </c>
      <c r="J36" s="1">
        <v>165.7</v>
      </c>
      <c r="K36" s="1">
        <v>228.6</v>
      </c>
      <c r="L36" s="1">
        <v>169.9</v>
      </c>
      <c r="M36" s="1">
        <v>123.4</v>
      </c>
      <c r="N36" s="1">
        <v>196.4</v>
      </c>
      <c r="O36" s="1">
        <v>161.6</v>
      </c>
      <c r="P36" s="1">
        <v>191.5</v>
      </c>
      <c r="Q36" s="1">
        <v>183.3</v>
      </c>
      <c r="R36" s="1">
        <v>200.1</v>
      </c>
      <c r="S36" s="1">
        <v>175.5</v>
      </c>
      <c r="T36" s="1">
        <v>162.6</v>
      </c>
      <c r="U36" s="1">
        <v>173.6</v>
      </c>
      <c r="V36" s="1">
        <v>171.2</v>
      </c>
      <c r="W36" s="1">
        <v>180</v>
      </c>
      <c r="X36" s="1">
        <v>166</v>
      </c>
      <c r="Y36" s="1">
        <v>174.7</v>
      </c>
      <c r="Z36" s="1">
        <v>158.80000000000001</v>
      </c>
      <c r="AA36" s="1">
        <v>166.3</v>
      </c>
      <c r="AB36" s="1">
        <v>171.2</v>
      </c>
      <c r="AC36" s="1">
        <v>172.3</v>
      </c>
      <c r="AD36" s="1">
        <v>166.8</v>
      </c>
      <c r="AE36" s="1">
        <v>175.3</v>
      </c>
    </row>
    <row r="37" spans="1:31" x14ac:dyDescent="0.25">
      <c r="A37" s="1" t="s">
        <v>34</v>
      </c>
      <c r="B37" s="1">
        <v>2021</v>
      </c>
      <c r="C37" s="1" t="s">
        <v>39</v>
      </c>
      <c r="D37" s="1" t="s">
        <v>183</v>
      </c>
      <c r="E37" s="1">
        <v>146.69999999999999</v>
      </c>
      <c r="F37" s="1">
        <v>202</v>
      </c>
      <c r="G37" s="1">
        <v>180.7</v>
      </c>
      <c r="H37" s="1">
        <v>156.19999999999999</v>
      </c>
      <c r="I37" s="1">
        <v>183.7</v>
      </c>
      <c r="J37" s="1">
        <v>164.6</v>
      </c>
      <c r="K37" s="1">
        <v>155.4</v>
      </c>
      <c r="L37" s="1">
        <v>166</v>
      </c>
      <c r="M37" s="1">
        <v>115.1</v>
      </c>
      <c r="N37" s="1">
        <v>168.5</v>
      </c>
      <c r="O37" s="1">
        <v>160</v>
      </c>
      <c r="P37" s="1">
        <v>172.4</v>
      </c>
      <c r="Q37" s="1">
        <v>162.6</v>
      </c>
      <c r="R37" s="1">
        <v>190.8</v>
      </c>
      <c r="S37" s="1">
        <v>162.19999999999999</v>
      </c>
      <c r="T37" s="1">
        <v>151.80000000000001</v>
      </c>
      <c r="U37" s="1">
        <v>160.69999999999999</v>
      </c>
      <c r="V37" s="1">
        <v>160.5</v>
      </c>
      <c r="W37" s="1">
        <v>159.80000000000001</v>
      </c>
      <c r="X37" s="1">
        <v>154.80000000000001</v>
      </c>
      <c r="Y37" s="1">
        <v>166.3</v>
      </c>
      <c r="Z37" s="1">
        <v>150.69999999999999</v>
      </c>
      <c r="AA37" s="1">
        <v>154.9</v>
      </c>
      <c r="AB37" s="1">
        <v>161.69999999999999</v>
      </c>
      <c r="AC37" s="1">
        <v>158.80000000000001</v>
      </c>
      <c r="AD37" s="1">
        <v>157.6</v>
      </c>
      <c r="AE37" s="1">
        <v>161.30000000000001</v>
      </c>
    </row>
    <row r="38" spans="1:31" x14ac:dyDescent="0.25">
      <c r="A38" s="1" t="s">
        <v>34</v>
      </c>
      <c r="B38" s="1">
        <v>2021</v>
      </c>
      <c r="C38" s="1" t="s">
        <v>37</v>
      </c>
      <c r="D38" s="1" t="s">
        <v>181</v>
      </c>
      <c r="E38" s="1">
        <v>144.30000000000001</v>
      </c>
      <c r="F38" s="1">
        <v>198</v>
      </c>
      <c r="G38" s="1">
        <v>164.6</v>
      </c>
      <c r="H38" s="1">
        <v>155.4</v>
      </c>
      <c r="I38" s="1">
        <v>170.1</v>
      </c>
      <c r="J38" s="1">
        <v>164.4</v>
      </c>
      <c r="K38" s="1">
        <v>144.1</v>
      </c>
      <c r="L38" s="1">
        <v>161.69999999999999</v>
      </c>
      <c r="M38" s="1">
        <v>113.1</v>
      </c>
      <c r="N38" s="1">
        <v>163.9</v>
      </c>
      <c r="O38" s="1">
        <v>157.6</v>
      </c>
      <c r="P38" s="1">
        <v>168.9</v>
      </c>
      <c r="Q38" s="1">
        <v>158</v>
      </c>
      <c r="R38" s="1">
        <v>188.8</v>
      </c>
      <c r="S38" s="1">
        <v>158.80000000000001</v>
      </c>
      <c r="T38" s="1">
        <v>148.5</v>
      </c>
      <c r="U38" s="1">
        <v>157.30000000000001</v>
      </c>
      <c r="V38" s="1">
        <v>161.4</v>
      </c>
      <c r="W38" s="1">
        <v>155.6</v>
      </c>
      <c r="X38" s="1">
        <v>151.80000000000001</v>
      </c>
      <c r="Y38" s="1">
        <v>162.30000000000001</v>
      </c>
      <c r="Z38" s="1">
        <v>146.6</v>
      </c>
      <c r="AA38" s="1">
        <v>153.19999999999999</v>
      </c>
      <c r="AB38" s="1">
        <v>160.30000000000001</v>
      </c>
      <c r="AC38" s="1">
        <v>155.4</v>
      </c>
      <c r="AD38" s="1">
        <v>154.4</v>
      </c>
      <c r="AE38" s="1">
        <v>157.80000000000001</v>
      </c>
    </row>
    <row r="39" spans="1:31" x14ac:dyDescent="0.25">
      <c r="A39" s="1" t="s">
        <v>30</v>
      </c>
      <c r="B39" s="1">
        <v>2022</v>
      </c>
      <c r="C39" s="1" t="s">
        <v>42</v>
      </c>
      <c r="D39" s="1" t="s">
        <v>198</v>
      </c>
      <c r="E39" s="1">
        <v>162.9</v>
      </c>
      <c r="F39" s="1">
        <v>206.7</v>
      </c>
      <c r="G39" s="1">
        <v>169</v>
      </c>
      <c r="H39" s="1">
        <v>169.5</v>
      </c>
      <c r="I39" s="1">
        <v>194.1</v>
      </c>
      <c r="J39" s="1">
        <v>164.1</v>
      </c>
      <c r="K39" s="1">
        <v>176.9</v>
      </c>
      <c r="L39" s="1">
        <v>169</v>
      </c>
      <c r="M39" s="1">
        <v>120.8</v>
      </c>
      <c r="N39" s="1">
        <v>199.1</v>
      </c>
      <c r="O39" s="1">
        <v>175.4</v>
      </c>
      <c r="P39" s="1">
        <v>184.8</v>
      </c>
      <c r="Q39" s="1">
        <v>175.5</v>
      </c>
      <c r="R39" s="1">
        <v>194.5</v>
      </c>
      <c r="S39" s="1">
        <v>184.7</v>
      </c>
      <c r="T39" s="1">
        <v>183.3</v>
      </c>
      <c r="U39" s="1">
        <v>184.5</v>
      </c>
      <c r="V39" s="14">
        <f>VLOOKUP($D39,Notes!$B$2:$C$229,2,0)</f>
        <v>169.5</v>
      </c>
      <c r="W39" s="1">
        <v>179.7</v>
      </c>
      <c r="X39" s="1">
        <v>173.6</v>
      </c>
      <c r="Y39" s="1">
        <v>180.2</v>
      </c>
      <c r="Z39" s="1">
        <v>166.9</v>
      </c>
      <c r="AA39" s="1">
        <v>170</v>
      </c>
      <c r="AB39" s="1">
        <v>176.2</v>
      </c>
      <c r="AC39" s="1">
        <v>170.8</v>
      </c>
      <c r="AD39" s="1">
        <v>173.1</v>
      </c>
      <c r="AE39" s="1">
        <v>176.4</v>
      </c>
    </row>
    <row r="40" spans="1:31" x14ac:dyDescent="0.25">
      <c r="A40" s="1" t="s">
        <v>34</v>
      </c>
      <c r="B40" s="1">
        <v>2021</v>
      </c>
      <c r="C40" s="1" t="s">
        <v>40</v>
      </c>
      <c r="D40" s="1" t="s">
        <v>184</v>
      </c>
      <c r="E40" s="1">
        <v>146.4</v>
      </c>
      <c r="F40" s="1">
        <v>206.8</v>
      </c>
      <c r="G40" s="1">
        <v>182.2</v>
      </c>
      <c r="H40" s="1">
        <v>157.5</v>
      </c>
      <c r="I40" s="1">
        <v>182.1</v>
      </c>
      <c r="J40" s="1">
        <v>163.9</v>
      </c>
      <c r="K40" s="1">
        <v>164.2</v>
      </c>
      <c r="L40" s="1">
        <v>164</v>
      </c>
      <c r="M40" s="1">
        <v>114.5</v>
      </c>
      <c r="N40" s="1">
        <v>168.3</v>
      </c>
      <c r="O40" s="1">
        <v>160.9</v>
      </c>
      <c r="P40" s="1">
        <v>172.2</v>
      </c>
      <c r="Q40" s="1">
        <v>164</v>
      </c>
      <c r="R40" s="1">
        <v>191.2</v>
      </c>
      <c r="S40" s="1">
        <v>162.80000000000001</v>
      </c>
      <c r="T40" s="1">
        <v>153.1</v>
      </c>
      <c r="U40" s="1">
        <v>161.4</v>
      </c>
      <c r="V40" s="1">
        <v>161.5</v>
      </c>
      <c r="W40" s="1">
        <v>160.69999999999999</v>
      </c>
      <c r="X40" s="1">
        <v>155.80000000000001</v>
      </c>
      <c r="Y40" s="1">
        <v>167</v>
      </c>
      <c r="Z40" s="1">
        <v>153.1</v>
      </c>
      <c r="AA40" s="1">
        <v>155.30000000000001</v>
      </c>
      <c r="AB40" s="1">
        <v>163.19999999999999</v>
      </c>
      <c r="AC40" s="1">
        <v>160.1</v>
      </c>
      <c r="AD40" s="1">
        <v>159</v>
      </c>
      <c r="AE40" s="1">
        <v>162.5</v>
      </c>
    </row>
    <row r="41" spans="1:31" x14ac:dyDescent="0.25">
      <c r="A41" s="1" t="s">
        <v>34</v>
      </c>
      <c r="B41" s="1">
        <v>2022</v>
      </c>
      <c r="C41" s="1" t="s">
        <v>43</v>
      </c>
      <c r="D41" s="1" t="s">
        <v>199</v>
      </c>
      <c r="E41" s="1">
        <v>165.2</v>
      </c>
      <c r="F41" s="1">
        <v>210.9</v>
      </c>
      <c r="G41" s="1">
        <v>170.9</v>
      </c>
      <c r="H41" s="1">
        <v>170.9</v>
      </c>
      <c r="I41" s="1">
        <v>186.5</v>
      </c>
      <c r="J41" s="1">
        <v>163.80000000000001</v>
      </c>
      <c r="K41" s="1">
        <v>199.7</v>
      </c>
      <c r="L41" s="1">
        <v>169.8</v>
      </c>
      <c r="M41" s="1">
        <v>121.9</v>
      </c>
      <c r="N41" s="1">
        <v>199.9</v>
      </c>
      <c r="O41" s="1">
        <v>169.9</v>
      </c>
      <c r="P41" s="1">
        <v>188.3</v>
      </c>
      <c r="Q41" s="1">
        <v>179.6</v>
      </c>
      <c r="R41" s="1">
        <v>196.3</v>
      </c>
      <c r="S41" s="1">
        <v>181.9</v>
      </c>
      <c r="T41" s="1">
        <v>175.3</v>
      </c>
      <c r="U41" s="1">
        <v>181</v>
      </c>
      <c r="V41" s="1">
        <v>171.2</v>
      </c>
      <c r="W41" s="1">
        <v>180.5</v>
      </c>
      <c r="X41" s="1">
        <v>170.4</v>
      </c>
      <c r="Y41" s="1">
        <v>178.7</v>
      </c>
      <c r="Z41" s="1">
        <v>162.9</v>
      </c>
      <c r="AA41" s="1">
        <v>168.2</v>
      </c>
      <c r="AB41" s="1">
        <v>173.4</v>
      </c>
      <c r="AC41" s="1">
        <v>172.1</v>
      </c>
      <c r="AD41" s="1">
        <v>170.5</v>
      </c>
      <c r="AE41" s="1">
        <v>176.7</v>
      </c>
    </row>
    <row r="42" spans="1:31" x14ac:dyDescent="0.25">
      <c r="A42" s="1" t="s">
        <v>33</v>
      </c>
      <c r="B42" s="1">
        <v>2022</v>
      </c>
      <c r="C42" s="1" t="s">
        <v>44</v>
      </c>
      <c r="D42" s="1" t="s">
        <v>200</v>
      </c>
      <c r="E42" s="1">
        <v>168.4</v>
      </c>
      <c r="F42" s="1">
        <v>213.4</v>
      </c>
      <c r="G42" s="1">
        <v>183.2</v>
      </c>
      <c r="H42" s="1">
        <v>172.3</v>
      </c>
      <c r="I42" s="1">
        <v>180</v>
      </c>
      <c r="J42" s="1">
        <v>162.6</v>
      </c>
      <c r="K42" s="1">
        <v>205.5</v>
      </c>
      <c r="L42" s="1">
        <v>171</v>
      </c>
      <c r="M42" s="1">
        <v>123.4</v>
      </c>
      <c r="N42" s="1">
        <v>198.8</v>
      </c>
      <c r="O42" s="1">
        <v>162.1</v>
      </c>
      <c r="P42" s="1">
        <v>192.4</v>
      </c>
      <c r="Q42" s="1">
        <v>181.3</v>
      </c>
      <c r="R42" s="1">
        <v>200.6</v>
      </c>
      <c r="S42" s="1">
        <v>176.7</v>
      </c>
      <c r="T42" s="1">
        <v>163.5</v>
      </c>
      <c r="U42" s="1">
        <v>174.7</v>
      </c>
      <c r="V42" s="1">
        <v>171.8</v>
      </c>
      <c r="W42" s="1">
        <v>180.3</v>
      </c>
      <c r="X42" s="1">
        <v>166.9</v>
      </c>
      <c r="Y42" s="1">
        <v>175.8</v>
      </c>
      <c r="Z42" s="1">
        <v>158.9</v>
      </c>
      <c r="AA42" s="1">
        <v>166.7</v>
      </c>
      <c r="AB42" s="1">
        <v>171.5</v>
      </c>
      <c r="AC42" s="1">
        <v>173.8</v>
      </c>
      <c r="AD42" s="1">
        <v>167.4</v>
      </c>
      <c r="AE42" s="1">
        <v>174.1</v>
      </c>
    </row>
    <row r="43" spans="1:31" x14ac:dyDescent="0.25">
      <c r="A43" s="1" t="s">
        <v>30</v>
      </c>
      <c r="B43" s="1">
        <v>2021</v>
      </c>
      <c r="C43" s="1" t="s">
        <v>38</v>
      </c>
      <c r="D43" s="1" t="s">
        <v>182</v>
      </c>
      <c r="E43" s="1">
        <v>145.1</v>
      </c>
      <c r="F43" s="1">
        <v>198.5</v>
      </c>
      <c r="G43" s="1">
        <v>168.6</v>
      </c>
      <c r="H43" s="1">
        <v>155.80000000000001</v>
      </c>
      <c r="I43" s="1">
        <v>184.4</v>
      </c>
      <c r="J43" s="1">
        <v>162.30000000000001</v>
      </c>
      <c r="K43" s="1">
        <v>138.4</v>
      </c>
      <c r="L43" s="1">
        <v>165.1</v>
      </c>
      <c r="M43" s="1">
        <v>114.3</v>
      </c>
      <c r="N43" s="1">
        <v>169.7</v>
      </c>
      <c r="O43" s="1">
        <v>164.6</v>
      </c>
      <c r="P43" s="1">
        <v>169.8</v>
      </c>
      <c r="Q43" s="1">
        <v>158.69999999999999</v>
      </c>
      <c r="R43" s="1">
        <v>189.6</v>
      </c>
      <c r="S43" s="1">
        <v>165.3</v>
      </c>
      <c r="T43" s="1">
        <v>160.6</v>
      </c>
      <c r="U43" s="1">
        <v>164.5</v>
      </c>
      <c r="V43" s="14">
        <f>VLOOKUP($D43,Notes!$B$2:$C$229,2,0)</f>
        <v>161.6</v>
      </c>
      <c r="W43" s="1">
        <v>161.69999999999999</v>
      </c>
      <c r="X43" s="1">
        <v>158.80000000000001</v>
      </c>
      <c r="Y43" s="1">
        <v>169.1</v>
      </c>
      <c r="Z43" s="1">
        <v>153.19999999999999</v>
      </c>
      <c r="AA43" s="1">
        <v>160</v>
      </c>
      <c r="AB43" s="1">
        <v>167.6</v>
      </c>
      <c r="AC43" s="1">
        <v>159.30000000000001</v>
      </c>
      <c r="AD43" s="1">
        <v>161.1</v>
      </c>
      <c r="AE43" s="1">
        <v>161.1</v>
      </c>
    </row>
    <row r="44" spans="1:31" x14ac:dyDescent="0.25">
      <c r="A44" s="1" t="s">
        <v>30</v>
      </c>
      <c r="B44" s="1">
        <v>2022</v>
      </c>
      <c r="C44" s="1" t="s">
        <v>43</v>
      </c>
      <c r="D44" s="1" t="s">
        <v>199</v>
      </c>
      <c r="E44" s="1">
        <v>164.7</v>
      </c>
      <c r="F44" s="1">
        <v>208.8</v>
      </c>
      <c r="G44" s="1">
        <v>170.3</v>
      </c>
      <c r="H44" s="1">
        <v>170.9</v>
      </c>
      <c r="I44" s="1">
        <v>191.6</v>
      </c>
      <c r="J44" s="1">
        <v>162.19999999999999</v>
      </c>
      <c r="K44" s="1">
        <v>184.8</v>
      </c>
      <c r="L44" s="1">
        <v>169.7</v>
      </c>
      <c r="M44" s="1">
        <v>121.1</v>
      </c>
      <c r="N44" s="1">
        <v>201.6</v>
      </c>
      <c r="O44" s="1">
        <v>175.8</v>
      </c>
      <c r="P44" s="1">
        <v>185.6</v>
      </c>
      <c r="Q44" s="1">
        <v>177.4</v>
      </c>
      <c r="R44" s="1">
        <v>194.9</v>
      </c>
      <c r="S44" s="1">
        <v>186.1</v>
      </c>
      <c r="T44" s="1">
        <v>184.4</v>
      </c>
      <c r="U44" s="1">
        <v>185.9</v>
      </c>
      <c r="V44" s="14">
        <f>VLOOKUP($D44,Notes!$B$2:$C$229,2,0)</f>
        <v>171.2</v>
      </c>
      <c r="W44" s="1">
        <v>180.8</v>
      </c>
      <c r="X44" s="1">
        <v>174.4</v>
      </c>
      <c r="Y44" s="1">
        <v>181.2</v>
      </c>
      <c r="Z44" s="1">
        <v>167.4</v>
      </c>
      <c r="AA44" s="1">
        <v>170.6</v>
      </c>
      <c r="AB44" s="1">
        <v>176.5</v>
      </c>
      <c r="AC44" s="1">
        <v>172</v>
      </c>
      <c r="AD44" s="1">
        <v>173.9</v>
      </c>
      <c r="AE44" s="1">
        <v>177.9</v>
      </c>
    </row>
    <row r="45" spans="1:31" x14ac:dyDescent="0.25">
      <c r="A45" s="1" t="s">
        <v>33</v>
      </c>
      <c r="B45" s="1">
        <v>2021</v>
      </c>
      <c r="C45" s="1" t="s">
        <v>41</v>
      </c>
      <c r="D45" s="1" t="s">
        <v>185</v>
      </c>
      <c r="E45" s="1">
        <v>149.30000000000001</v>
      </c>
      <c r="F45" s="1">
        <v>207.4</v>
      </c>
      <c r="G45" s="1">
        <v>174.1</v>
      </c>
      <c r="H45" s="1">
        <v>159.19999999999999</v>
      </c>
      <c r="I45" s="1">
        <v>175</v>
      </c>
      <c r="J45" s="1">
        <v>161.30000000000001</v>
      </c>
      <c r="K45" s="1">
        <v>183.3</v>
      </c>
      <c r="L45" s="1">
        <v>164.5</v>
      </c>
      <c r="M45" s="1">
        <v>120.4</v>
      </c>
      <c r="N45" s="1">
        <v>166.2</v>
      </c>
      <c r="O45" s="1">
        <v>154.80000000000001</v>
      </c>
      <c r="P45" s="1">
        <v>175.1</v>
      </c>
      <c r="Q45" s="1">
        <v>167.3</v>
      </c>
      <c r="R45" s="1">
        <v>196.5</v>
      </c>
      <c r="S45" s="1">
        <v>159.80000000000001</v>
      </c>
      <c r="T45" s="1">
        <v>143.6</v>
      </c>
      <c r="U45" s="1">
        <v>157.30000000000001</v>
      </c>
      <c r="V45" s="1">
        <v>162.1</v>
      </c>
      <c r="W45" s="1">
        <v>160.69999999999999</v>
      </c>
      <c r="X45" s="1">
        <v>153.19999999999999</v>
      </c>
      <c r="Y45" s="1">
        <v>162.80000000000001</v>
      </c>
      <c r="Z45" s="1">
        <v>150.4</v>
      </c>
      <c r="AA45" s="1">
        <v>153.69999999999999</v>
      </c>
      <c r="AB45" s="1">
        <v>160.4</v>
      </c>
      <c r="AC45" s="1">
        <v>159.6</v>
      </c>
      <c r="AD45" s="1">
        <v>156</v>
      </c>
      <c r="AE45" s="1">
        <v>162.30000000000001</v>
      </c>
    </row>
    <row r="46" spans="1:31" x14ac:dyDescent="0.25">
      <c r="A46" s="1" t="s">
        <v>33</v>
      </c>
      <c r="B46" s="1">
        <v>2021</v>
      </c>
      <c r="C46" s="1" t="s">
        <v>42</v>
      </c>
      <c r="D46" s="1" t="s">
        <v>186</v>
      </c>
      <c r="E46" s="1">
        <v>149.30000000000001</v>
      </c>
      <c r="F46" s="1">
        <v>207.4</v>
      </c>
      <c r="G46" s="1">
        <v>174.1</v>
      </c>
      <c r="H46" s="1">
        <v>159.1</v>
      </c>
      <c r="I46" s="1">
        <v>175</v>
      </c>
      <c r="J46" s="1">
        <v>161.19999999999999</v>
      </c>
      <c r="K46" s="1">
        <v>183.5</v>
      </c>
      <c r="L46" s="1">
        <v>164.5</v>
      </c>
      <c r="M46" s="1">
        <v>120.4</v>
      </c>
      <c r="N46" s="1">
        <v>166.2</v>
      </c>
      <c r="O46" s="1">
        <v>154.80000000000001</v>
      </c>
      <c r="P46" s="1">
        <v>175.1</v>
      </c>
      <c r="Q46" s="1">
        <v>167.3</v>
      </c>
      <c r="R46" s="1">
        <v>196.5</v>
      </c>
      <c r="S46" s="1">
        <v>159.80000000000001</v>
      </c>
      <c r="T46" s="1">
        <v>143.6</v>
      </c>
      <c r="U46" s="1">
        <v>157.4</v>
      </c>
      <c r="V46" s="1">
        <v>162.1</v>
      </c>
      <c r="W46" s="1">
        <v>160.80000000000001</v>
      </c>
      <c r="X46" s="1">
        <v>153.30000000000001</v>
      </c>
      <c r="Y46" s="1">
        <v>162.80000000000001</v>
      </c>
      <c r="Z46" s="1">
        <v>150.5</v>
      </c>
      <c r="AA46" s="1">
        <v>153.9</v>
      </c>
      <c r="AB46" s="1">
        <v>160.30000000000001</v>
      </c>
      <c r="AC46" s="1">
        <v>159.6</v>
      </c>
      <c r="AD46" s="1">
        <v>156</v>
      </c>
      <c r="AE46" s="1">
        <v>162.30000000000001</v>
      </c>
    </row>
    <row r="47" spans="1:31" x14ac:dyDescent="0.25">
      <c r="A47" s="1" t="s">
        <v>34</v>
      </c>
      <c r="B47" s="1">
        <v>2022</v>
      </c>
      <c r="C47" s="1" t="s">
        <v>44</v>
      </c>
      <c r="D47" s="1" t="s">
        <v>200</v>
      </c>
      <c r="E47" s="1">
        <v>167.4</v>
      </c>
      <c r="F47" s="1">
        <v>209.4</v>
      </c>
      <c r="G47" s="1">
        <v>181.4</v>
      </c>
      <c r="H47" s="1">
        <v>172.3</v>
      </c>
      <c r="I47" s="1">
        <v>188.9</v>
      </c>
      <c r="J47" s="1">
        <v>160.69999999999999</v>
      </c>
      <c r="K47" s="1">
        <v>183.1</v>
      </c>
      <c r="L47" s="1">
        <v>170.5</v>
      </c>
      <c r="M47" s="1">
        <v>122.1</v>
      </c>
      <c r="N47" s="1">
        <v>202.8</v>
      </c>
      <c r="O47" s="1">
        <v>170.4</v>
      </c>
      <c r="P47" s="1">
        <v>189.5</v>
      </c>
      <c r="Q47" s="1">
        <v>178.3</v>
      </c>
      <c r="R47" s="1">
        <v>196.9</v>
      </c>
      <c r="S47" s="1">
        <v>183.1</v>
      </c>
      <c r="T47" s="1">
        <v>176.2</v>
      </c>
      <c r="U47" s="1">
        <v>182.1</v>
      </c>
      <c r="V47" s="1">
        <v>171.8</v>
      </c>
      <c r="W47" s="1">
        <v>181.3</v>
      </c>
      <c r="X47" s="1">
        <v>171.4</v>
      </c>
      <c r="Y47" s="1">
        <v>179.8</v>
      </c>
      <c r="Z47" s="1">
        <v>163</v>
      </c>
      <c r="AA47" s="1">
        <v>168.5</v>
      </c>
      <c r="AB47" s="1">
        <v>173.7</v>
      </c>
      <c r="AC47" s="1">
        <v>173.6</v>
      </c>
      <c r="AD47" s="1">
        <v>171.1</v>
      </c>
      <c r="AE47" s="1">
        <v>176.5</v>
      </c>
    </row>
    <row r="48" spans="1:31" x14ac:dyDescent="0.25">
      <c r="A48" s="1" t="s">
        <v>30</v>
      </c>
      <c r="B48" s="1">
        <v>2021</v>
      </c>
      <c r="C48" s="1" t="s">
        <v>37</v>
      </c>
      <c r="D48" s="1" t="s">
        <v>181</v>
      </c>
      <c r="E48" s="1">
        <v>142.69999999999999</v>
      </c>
      <c r="F48" s="1">
        <v>195.5</v>
      </c>
      <c r="G48" s="1">
        <v>163.4</v>
      </c>
      <c r="H48" s="1">
        <v>155</v>
      </c>
      <c r="I48" s="1">
        <v>175.2</v>
      </c>
      <c r="J48" s="1">
        <v>160.6</v>
      </c>
      <c r="K48" s="1">
        <v>135.1</v>
      </c>
      <c r="L48" s="1">
        <v>161.1</v>
      </c>
      <c r="M48" s="1">
        <v>112.2</v>
      </c>
      <c r="N48" s="1">
        <v>164.4</v>
      </c>
      <c r="O48" s="1">
        <v>161.9</v>
      </c>
      <c r="P48" s="1">
        <v>166.8</v>
      </c>
      <c r="Q48" s="1">
        <v>155.6</v>
      </c>
      <c r="R48" s="1">
        <v>186.8</v>
      </c>
      <c r="S48" s="1">
        <v>160.69999999999999</v>
      </c>
      <c r="T48" s="1">
        <v>155.1</v>
      </c>
      <c r="U48" s="1">
        <v>159.9</v>
      </c>
      <c r="V48" s="14">
        <v>161.4</v>
      </c>
      <c r="W48" s="1">
        <v>156</v>
      </c>
      <c r="X48" s="1">
        <v>155.5</v>
      </c>
      <c r="Y48" s="1">
        <v>165.3</v>
      </c>
      <c r="Z48" s="1">
        <v>151.69999999999999</v>
      </c>
      <c r="AA48" s="1">
        <v>158.6</v>
      </c>
      <c r="AB48" s="1">
        <v>164.1</v>
      </c>
      <c r="AC48" s="1">
        <v>154.6</v>
      </c>
      <c r="AD48" s="1">
        <v>158</v>
      </c>
      <c r="AE48" s="1">
        <v>157.6</v>
      </c>
    </row>
    <row r="49" spans="1:31" x14ac:dyDescent="0.25">
      <c r="A49" s="1" t="s">
        <v>33</v>
      </c>
      <c r="B49" s="1">
        <v>2023</v>
      </c>
      <c r="C49" s="1" t="s">
        <v>31</v>
      </c>
      <c r="D49" s="1" t="s">
        <v>202</v>
      </c>
      <c r="E49" s="1">
        <v>173.3</v>
      </c>
      <c r="F49" s="1">
        <v>215.2</v>
      </c>
      <c r="G49" s="1">
        <v>197</v>
      </c>
      <c r="H49" s="1">
        <v>175.2</v>
      </c>
      <c r="I49" s="1">
        <v>178</v>
      </c>
      <c r="J49" s="1">
        <v>160.5</v>
      </c>
      <c r="K49" s="1">
        <v>175.3</v>
      </c>
      <c r="L49" s="1">
        <v>171.2</v>
      </c>
      <c r="M49" s="1">
        <v>122.7</v>
      </c>
      <c r="N49" s="1">
        <v>204.3</v>
      </c>
      <c r="O49" s="1">
        <v>163.69999999999999</v>
      </c>
      <c r="P49" s="1">
        <v>194.3</v>
      </c>
      <c r="Q49" s="1">
        <v>179.5</v>
      </c>
      <c r="R49" s="1">
        <v>201.6</v>
      </c>
      <c r="S49" s="1">
        <v>178.7</v>
      </c>
      <c r="T49" s="1">
        <v>165.3</v>
      </c>
      <c r="U49" s="1">
        <v>176.6</v>
      </c>
      <c r="V49" s="1">
        <v>172.1</v>
      </c>
      <c r="W49" s="1">
        <v>180.1</v>
      </c>
      <c r="X49" s="1">
        <v>168</v>
      </c>
      <c r="Y49" s="1">
        <v>178.5</v>
      </c>
      <c r="Z49" s="1">
        <v>159.5</v>
      </c>
      <c r="AA49" s="1">
        <v>167.8</v>
      </c>
      <c r="AB49" s="1">
        <v>171.8</v>
      </c>
      <c r="AC49" s="1">
        <v>178.8</v>
      </c>
      <c r="AD49" s="1">
        <v>168.9</v>
      </c>
      <c r="AE49" s="1">
        <v>174.9</v>
      </c>
    </row>
    <row r="50" spans="1:31" x14ac:dyDescent="0.25">
      <c r="A50" s="1" t="s">
        <v>33</v>
      </c>
      <c r="B50" s="1">
        <v>2021</v>
      </c>
      <c r="C50" s="1" t="s">
        <v>44</v>
      </c>
      <c r="D50" s="1" t="s">
        <v>188</v>
      </c>
      <c r="E50" s="1">
        <v>151</v>
      </c>
      <c r="F50" s="1">
        <v>204.9</v>
      </c>
      <c r="G50" s="1">
        <v>175.4</v>
      </c>
      <c r="H50" s="1">
        <v>159.6</v>
      </c>
      <c r="I50" s="1">
        <v>175.8</v>
      </c>
      <c r="J50" s="1">
        <v>160.30000000000001</v>
      </c>
      <c r="K50" s="1">
        <v>229.1</v>
      </c>
      <c r="L50" s="1">
        <v>165.1</v>
      </c>
      <c r="M50" s="1">
        <v>123.1</v>
      </c>
      <c r="N50" s="1">
        <v>167.2</v>
      </c>
      <c r="O50" s="1">
        <v>156.1</v>
      </c>
      <c r="P50" s="1">
        <v>176.8</v>
      </c>
      <c r="Q50" s="1">
        <v>173.5</v>
      </c>
      <c r="R50" s="1">
        <v>197</v>
      </c>
      <c r="S50" s="1">
        <v>162.30000000000001</v>
      </c>
      <c r="T50" s="1">
        <v>145.30000000000001</v>
      </c>
      <c r="U50" s="1">
        <v>159.69999999999999</v>
      </c>
      <c r="V50" s="1">
        <v>164.2</v>
      </c>
      <c r="W50" s="1">
        <v>161.6</v>
      </c>
      <c r="X50" s="1">
        <v>155.19999999999999</v>
      </c>
      <c r="Y50" s="1">
        <v>164.2</v>
      </c>
      <c r="Z50" s="1">
        <v>151.19999999999999</v>
      </c>
      <c r="AA50" s="1">
        <v>156.69999999999999</v>
      </c>
      <c r="AB50" s="1">
        <v>160.80000000000001</v>
      </c>
      <c r="AC50" s="1">
        <v>161.80000000000001</v>
      </c>
      <c r="AD50" s="1">
        <v>157.30000000000001</v>
      </c>
      <c r="AE50" s="1">
        <v>165.6</v>
      </c>
    </row>
    <row r="51" spans="1:31" x14ac:dyDescent="0.25">
      <c r="A51" s="1" t="s">
        <v>33</v>
      </c>
      <c r="B51" s="1">
        <v>2022</v>
      </c>
      <c r="C51" s="1" t="s">
        <v>36</v>
      </c>
      <c r="D51" s="1" t="s">
        <v>192</v>
      </c>
      <c r="E51" s="1">
        <v>153.69999999999999</v>
      </c>
      <c r="F51" s="1">
        <v>215.8</v>
      </c>
      <c r="G51" s="1">
        <v>167.7</v>
      </c>
      <c r="H51" s="1">
        <v>162.6</v>
      </c>
      <c r="I51" s="1">
        <v>180</v>
      </c>
      <c r="J51" s="1">
        <v>159.6</v>
      </c>
      <c r="K51" s="1">
        <v>188.4</v>
      </c>
      <c r="L51" s="1">
        <v>163.4</v>
      </c>
      <c r="M51" s="1">
        <v>120.3</v>
      </c>
      <c r="N51" s="1">
        <v>174.7</v>
      </c>
      <c r="O51" s="1">
        <v>157.1</v>
      </c>
      <c r="P51" s="1">
        <v>181.5</v>
      </c>
      <c r="Q51" s="1">
        <v>171.5</v>
      </c>
      <c r="R51" s="1">
        <v>197.5</v>
      </c>
      <c r="S51" s="1">
        <v>167.1</v>
      </c>
      <c r="T51" s="1">
        <v>152.6</v>
      </c>
      <c r="U51" s="1">
        <v>164.9</v>
      </c>
      <c r="V51" s="1">
        <v>165.3</v>
      </c>
      <c r="W51" s="1">
        <v>164.5</v>
      </c>
      <c r="X51" s="1">
        <v>158.6</v>
      </c>
      <c r="Y51" s="1">
        <v>168.2</v>
      </c>
      <c r="Z51" s="1">
        <v>154.19999999999999</v>
      </c>
      <c r="AA51" s="1">
        <v>160.80000000000001</v>
      </c>
      <c r="AB51" s="1">
        <v>162.69999999999999</v>
      </c>
      <c r="AC51" s="1">
        <v>166.8</v>
      </c>
      <c r="AD51" s="1">
        <v>160.6</v>
      </c>
      <c r="AE51" s="1">
        <v>166.5</v>
      </c>
    </row>
    <row r="52" spans="1:31" x14ac:dyDescent="0.25">
      <c r="A52" s="1" t="s">
        <v>33</v>
      </c>
      <c r="B52" s="1">
        <v>2022</v>
      </c>
      <c r="C52" s="1" t="s">
        <v>45</v>
      </c>
      <c r="D52" s="1" t="s">
        <v>201</v>
      </c>
      <c r="E52" s="1">
        <v>170.2</v>
      </c>
      <c r="F52" s="1">
        <v>212.9</v>
      </c>
      <c r="G52" s="1">
        <v>191.9</v>
      </c>
      <c r="H52" s="1">
        <v>173.9</v>
      </c>
      <c r="I52" s="1">
        <v>179.1</v>
      </c>
      <c r="J52" s="1">
        <v>159.5</v>
      </c>
      <c r="K52" s="1">
        <v>178.7</v>
      </c>
      <c r="L52" s="1">
        <v>171.3</v>
      </c>
      <c r="M52" s="1">
        <v>123.1</v>
      </c>
      <c r="N52" s="1">
        <v>200.5</v>
      </c>
      <c r="O52" s="1">
        <v>162.80000000000001</v>
      </c>
      <c r="P52" s="1">
        <v>193.3</v>
      </c>
      <c r="Q52" s="1">
        <v>178.6</v>
      </c>
      <c r="R52" s="1">
        <v>201.1</v>
      </c>
      <c r="S52" s="1">
        <v>177.7</v>
      </c>
      <c r="T52" s="1">
        <v>164.5</v>
      </c>
      <c r="U52" s="1">
        <v>175.7</v>
      </c>
      <c r="V52" s="1">
        <v>170.7</v>
      </c>
      <c r="W52" s="1">
        <v>180.6</v>
      </c>
      <c r="X52" s="1">
        <v>167.3</v>
      </c>
      <c r="Y52" s="1">
        <v>177.2</v>
      </c>
      <c r="Z52" s="1">
        <v>159.4</v>
      </c>
      <c r="AA52" s="1">
        <v>167.1</v>
      </c>
      <c r="AB52" s="1">
        <v>171.8</v>
      </c>
      <c r="AC52" s="1">
        <v>176</v>
      </c>
      <c r="AD52" s="1">
        <v>168.2</v>
      </c>
      <c r="AE52" s="1">
        <v>174.1</v>
      </c>
    </row>
    <row r="53" spans="1:31" x14ac:dyDescent="0.25">
      <c r="A53" s="1" t="s">
        <v>33</v>
      </c>
      <c r="B53" s="1">
        <v>2021</v>
      </c>
      <c r="C53" s="1" t="s">
        <v>43</v>
      </c>
      <c r="D53" s="1" t="s">
        <v>187</v>
      </c>
      <c r="E53" s="1">
        <v>150.1</v>
      </c>
      <c r="F53" s="1">
        <v>208.4</v>
      </c>
      <c r="G53" s="1">
        <v>173</v>
      </c>
      <c r="H53" s="1">
        <v>159.19999999999999</v>
      </c>
      <c r="I53" s="1">
        <v>176.6</v>
      </c>
      <c r="J53" s="1">
        <v>159.30000000000001</v>
      </c>
      <c r="K53" s="1">
        <v>214.4</v>
      </c>
      <c r="L53" s="1">
        <v>165.3</v>
      </c>
      <c r="M53" s="1">
        <v>122.5</v>
      </c>
      <c r="N53" s="1">
        <v>166.8</v>
      </c>
      <c r="O53" s="1">
        <v>155.4</v>
      </c>
      <c r="P53" s="1">
        <v>175.9</v>
      </c>
      <c r="Q53" s="1">
        <v>171.5</v>
      </c>
      <c r="R53" s="1">
        <v>197</v>
      </c>
      <c r="S53" s="1">
        <v>160.80000000000001</v>
      </c>
      <c r="T53" s="1">
        <v>144.4</v>
      </c>
      <c r="U53" s="1">
        <v>158.30000000000001</v>
      </c>
      <c r="V53" s="1">
        <v>163.6</v>
      </c>
      <c r="W53" s="1">
        <v>162.19999999999999</v>
      </c>
      <c r="X53" s="1">
        <v>154.30000000000001</v>
      </c>
      <c r="Y53" s="1">
        <v>163.5</v>
      </c>
      <c r="Z53" s="1">
        <v>152.19999999999999</v>
      </c>
      <c r="AA53" s="1">
        <v>155.1</v>
      </c>
      <c r="AB53" s="1">
        <v>160.30000000000001</v>
      </c>
      <c r="AC53" s="1">
        <v>160.30000000000001</v>
      </c>
      <c r="AD53" s="1">
        <v>157</v>
      </c>
      <c r="AE53" s="1">
        <v>164.6</v>
      </c>
    </row>
    <row r="54" spans="1:31" x14ac:dyDescent="0.25">
      <c r="A54" s="1" t="s">
        <v>30</v>
      </c>
      <c r="B54" s="1">
        <v>2022</v>
      </c>
      <c r="C54" s="1" t="s">
        <v>44</v>
      </c>
      <c r="D54" s="1" t="s">
        <v>200</v>
      </c>
      <c r="E54" s="1">
        <v>166.9</v>
      </c>
      <c r="F54" s="1">
        <v>207.2</v>
      </c>
      <c r="G54" s="1">
        <v>180.2</v>
      </c>
      <c r="H54" s="1">
        <v>172.3</v>
      </c>
      <c r="I54" s="1">
        <v>194</v>
      </c>
      <c r="J54" s="1">
        <v>159.1</v>
      </c>
      <c r="K54" s="1">
        <v>171.6</v>
      </c>
      <c r="L54" s="1">
        <v>170.2</v>
      </c>
      <c r="M54" s="1">
        <v>121.5</v>
      </c>
      <c r="N54" s="1">
        <v>204.8</v>
      </c>
      <c r="O54" s="1">
        <v>176.4</v>
      </c>
      <c r="P54" s="1">
        <v>186.9</v>
      </c>
      <c r="Q54" s="1">
        <v>176.6</v>
      </c>
      <c r="R54" s="1">
        <v>195.5</v>
      </c>
      <c r="S54" s="1">
        <v>187.2</v>
      </c>
      <c r="T54" s="1">
        <v>185.2</v>
      </c>
      <c r="U54" s="1">
        <v>186.9</v>
      </c>
      <c r="V54" s="14">
        <f>VLOOKUP($D54,Notes!$B$2:$C$229,2,0)</f>
        <v>171.8</v>
      </c>
      <c r="W54" s="1">
        <v>181.9</v>
      </c>
      <c r="X54" s="1">
        <v>175.5</v>
      </c>
      <c r="Y54" s="1">
        <v>182.3</v>
      </c>
      <c r="Z54" s="1">
        <v>167.5</v>
      </c>
      <c r="AA54" s="1">
        <v>170.8</v>
      </c>
      <c r="AB54" s="1">
        <v>176.9</v>
      </c>
      <c r="AC54" s="1">
        <v>173.4</v>
      </c>
      <c r="AD54" s="1">
        <v>174.6</v>
      </c>
      <c r="AE54" s="1">
        <v>177.8</v>
      </c>
    </row>
    <row r="55" spans="1:31" x14ac:dyDescent="0.25">
      <c r="A55" s="1" t="s">
        <v>30</v>
      </c>
      <c r="B55" s="1">
        <v>2021</v>
      </c>
      <c r="C55" s="1" t="s">
        <v>39</v>
      </c>
      <c r="D55" s="1" t="s">
        <v>183</v>
      </c>
      <c r="E55" s="1">
        <v>145.6</v>
      </c>
      <c r="F55" s="1">
        <v>200.1</v>
      </c>
      <c r="G55" s="1">
        <v>179.3</v>
      </c>
      <c r="H55" s="1">
        <v>156.1</v>
      </c>
      <c r="I55" s="1">
        <v>190.4</v>
      </c>
      <c r="J55" s="1">
        <v>158.6</v>
      </c>
      <c r="K55" s="1">
        <v>144.69999999999999</v>
      </c>
      <c r="L55" s="1">
        <v>165.5</v>
      </c>
      <c r="M55" s="1">
        <v>114.6</v>
      </c>
      <c r="N55" s="1">
        <v>170</v>
      </c>
      <c r="O55" s="1">
        <v>165.5</v>
      </c>
      <c r="P55" s="1">
        <v>171.7</v>
      </c>
      <c r="Q55" s="1">
        <v>160.5</v>
      </c>
      <c r="R55" s="1">
        <v>189.1</v>
      </c>
      <c r="S55" s="1">
        <v>165.3</v>
      </c>
      <c r="T55" s="1">
        <v>159.9</v>
      </c>
      <c r="U55" s="1">
        <v>164.6</v>
      </c>
      <c r="V55" s="14">
        <f>VLOOKUP($D55,Notes!$B$2:$C$229,2,0)</f>
        <v>160.5</v>
      </c>
      <c r="W55" s="1">
        <v>162.1</v>
      </c>
      <c r="X55" s="1">
        <v>159.19999999999999</v>
      </c>
      <c r="Y55" s="1">
        <v>169.7</v>
      </c>
      <c r="Z55" s="1">
        <v>154.19999999999999</v>
      </c>
      <c r="AA55" s="1">
        <v>160.4</v>
      </c>
      <c r="AB55" s="1">
        <v>166.8</v>
      </c>
      <c r="AC55" s="1">
        <v>159.4</v>
      </c>
      <c r="AD55" s="1">
        <v>161.5</v>
      </c>
      <c r="AE55" s="1">
        <v>162.1</v>
      </c>
    </row>
    <row r="56" spans="1:31" x14ac:dyDescent="0.25">
      <c r="A56" s="1" t="s">
        <v>33</v>
      </c>
      <c r="B56" s="1">
        <v>2021</v>
      </c>
      <c r="C56" s="1" t="s">
        <v>45</v>
      </c>
      <c r="D56" s="1" t="s">
        <v>189</v>
      </c>
      <c r="E56" s="1">
        <v>151.6</v>
      </c>
      <c r="F56" s="1">
        <v>202.2</v>
      </c>
      <c r="G56" s="1">
        <v>180</v>
      </c>
      <c r="H56" s="1">
        <v>160</v>
      </c>
      <c r="I56" s="1">
        <v>173.5</v>
      </c>
      <c r="J56" s="1">
        <v>158.30000000000001</v>
      </c>
      <c r="K56" s="1">
        <v>219.5</v>
      </c>
      <c r="L56" s="1">
        <v>164.2</v>
      </c>
      <c r="M56" s="1">
        <v>121.9</v>
      </c>
      <c r="N56" s="1">
        <v>168.2</v>
      </c>
      <c r="O56" s="1">
        <v>156.5</v>
      </c>
      <c r="P56" s="1">
        <v>178.2</v>
      </c>
      <c r="Q56" s="1">
        <v>172.2</v>
      </c>
      <c r="R56" s="1">
        <v>196.8</v>
      </c>
      <c r="S56" s="1">
        <v>163.30000000000001</v>
      </c>
      <c r="T56" s="1">
        <v>146.69999999999999</v>
      </c>
      <c r="U56" s="1">
        <v>160.69999999999999</v>
      </c>
      <c r="V56" s="1">
        <v>163.4</v>
      </c>
      <c r="W56" s="1">
        <v>161.69999999999999</v>
      </c>
      <c r="X56" s="1">
        <v>156</v>
      </c>
      <c r="Y56" s="1">
        <v>165.1</v>
      </c>
      <c r="Z56" s="1">
        <v>151.80000000000001</v>
      </c>
      <c r="AA56" s="1">
        <v>157.6</v>
      </c>
      <c r="AB56" s="1">
        <v>160.6</v>
      </c>
      <c r="AC56" s="1">
        <v>162.4</v>
      </c>
      <c r="AD56" s="1">
        <v>157.80000000000001</v>
      </c>
      <c r="AE56" s="1">
        <v>165.2</v>
      </c>
    </row>
    <row r="57" spans="1:31" x14ac:dyDescent="0.25">
      <c r="A57" s="1" t="s">
        <v>34</v>
      </c>
      <c r="B57" s="1">
        <v>2023</v>
      </c>
      <c r="C57" s="1" t="s">
        <v>31</v>
      </c>
      <c r="D57" s="1" t="s">
        <v>202</v>
      </c>
      <c r="E57" s="1">
        <v>173.8</v>
      </c>
      <c r="F57" s="1">
        <v>210.7</v>
      </c>
      <c r="G57" s="1">
        <v>194.5</v>
      </c>
      <c r="H57" s="1">
        <v>174.6</v>
      </c>
      <c r="I57" s="1">
        <v>187.2</v>
      </c>
      <c r="J57" s="1">
        <v>158.30000000000001</v>
      </c>
      <c r="K57" s="1">
        <v>153.9</v>
      </c>
      <c r="L57" s="1">
        <v>170.9</v>
      </c>
      <c r="M57" s="1">
        <v>121.1</v>
      </c>
      <c r="N57" s="1">
        <v>208.4</v>
      </c>
      <c r="O57" s="1">
        <v>171.4</v>
      </c>
      <c r="P57" s="1">
        <v>191.2</v>
      </c>
      <c r="Q57" s="1">
        <v>176.7</v>
      </c>
      <c r="R57" s="1">
        <v>198.2</v>
      </c>
      <c r="S57" s="1">
        <v>184.9</v>
      </c>
      <c r="T57" s="1">
        <v>177.6</v>
      </c>
      <c r="U57" s="1">
        <v>183.8</v>
      </c>
      <c r="V57" s="1">
        <v>172.1</v>
      </c>
      <c r="W57" s="1">
        <v>182</v>
      </c>
      <c r="X57" s="1">
        <v>172.9</v>
      </c>
      <c r="Y57" s="1">
        <v>182.3</v>
      </c>
      <c r="Z57" s="1">
        <v>163.6</v>
      </c>
      <c r="AA57" s="1">
        <v>169.5</v>
      </c>
      <c r="AB57" s="1">
        <v>174.3</v>
      </c>
      <c r="AC57" s="1">
        <v>178.6</v>
      </c>
      <c r="AD57" s="1">
        <v>172.8</v>
      </c>
      <c r="AE57" s="1">
        <v>176.5</v>
      </c>
    </row>
    <row r="58" spans="1:31" x14ac:dyDescent="0.25">
      <c r="A58" s="1" t="s">
        <v>34</v>
      </c>
      <c r="B58" s="1">
        <v>2022</v>
      </c>
      <c r="C58" s="1" t="s">
        <v>45</v>
      </c>
      <c r="D58" s="1" t="s">
        <v>201</v>
      </c>
      <c r="E58" s="1">
        <v>169.2</v>
      </c>
      <c r="F58" s="1">
        <v>209</v>
      </c>
      <c r="G58" s="1">
        <v>190.2</v>
      </c>
      <c r="H58" s="1">
        <v>173.6</v>
      </c>
      <c r="I58" s="1">
        <v>188.5</v>
      </c>
      <c r="J58" s="1">
        <v>158</v>
      </c>
      <c r="K58" s="1">
        <v>159.9</v>
      </c>
      <c r="L58" s="1">
        <v>170.8</v>
      </c>
      <c r="M58" s="1">
        <v>121.8</v>
      </c>
      <c r="N58" s="1">
        <v>205.2</v>
      </c>
      <c r="O58" s="1">
        <v>171</v>
      </c>
      <c r="P58" s="1">
        <v>190.3</v>
      </c>
      <c r="Q58" s="1">
        <v>175.9</v>
      </c>
      <c r="R58" s="1">
        <v>197.3</v>
      </c>
      <c r="S58" s="1">
        <v>184</v>
      </c>
      <c r="T58" s="1">
        <v>177</v>
      </c>
      <c r="U58" s="1">
        <v>183</v>
      </c>
      <c r="V58" s="1">
        <v>170.7</v>
      </c>
      <c r="W58" s="1">
        <v>182</v>
      </c>
      <c r="X58" s="1">
        <v>172.1</v>
      </c>
      <c r="Y58" s="1">
        <v>181.1</v>
      </c>
      <c r="Z58" s="1">
        <v>163.4</v>
      </c>
      <c r="AA58" s="1">
        <v>168.9</v>
      </c>
      <c r="AB58" s="1">
        <v>174.1</v>
      </c>
      <c r="AC58" s="1">
        <v>175.8</v>
      </c>
      <c r="AD58" s="1">
        <v>172</v>
      </c>
      <c r="AE58" s="1">
        <v>175.7</v>
      </c>
    </row>
    <row r="59" spans="1:31" x14ac:dyDescent="0.25">
      <c r="A59" s="1" t="s">
        <v>30</v>
      </c>
      <c r="B59" s="1">
        <v>2021</v>
      </c>
      <c r="C59" s="1" t="s">
        <v>40</v>
      </c>
      <c r="D59" s="1" t="s">
        <v>184</v>
      </c>
      <c r="E59" s="1">
        <v>145.1</v>
      </c>
      <c r="F59" s="1">
        <v>204.5</v>
      </c>
      <c r="G59" s="1">
        <v>180.4</v>
      </c>
      <c r="H59" s="1">
        <v>157.1</v>
      </c>
      <c r="I59" s="1">
        <v>188.7</v>
      </c>
      <c r="J59" s="1">
        <v>157.69999999999999</v>
      </c>
      <c r="K59" s="1">
        <v>152.80000000000001</v>
      </c>
      <c r="L59" s="1">
        <v>163.6</v>
      </c>
      <c r="M59" s="1">
        <v>113.9</v>
      </c>
      <c r="N59" s="1">
        <v>169.7</v>
      </c>
      <c r="O59" s="1">
        <v>166.2</v>
      </c>
      <c r="P59" s="1">
        <v>171</v>
      </c>
      <c r="Q59" s="1">
        <v>161.69999999999999</v>
      </c>
      <c r="R59" s="1">
        <v>189.7</v>
      </c>
      <c r="S59" s="1">
        <v>166</v>
      </c>
      <c r="T59" s="1">
        <v>161.1</v>
      </c>
      <c r="U59" s="1">
        <v>165.3</v>
      </c>
      <c r="V59" s="14">
        <f>VLOOKUP($D59,Notes!$B$2:$C$229,2,0)</f>
        <v>161.5</v>
      </c>
      <c r="W59" s="1">
        <v>162.5</v>
      </c>
      <c r="X59" s="1">
        <v>160.30000000000001</v>
      </c>
      <c r="Y59" s="1">
        <v>170.4</v>
      </c>
      <c r="Z59" s="1">
        <v>157.1</v>
      </c>
      <c r="AA59" s="1">
        <v>160.69999999999999</v>
      </c>
      <c r="AB59" s="1">
        <v>167.2</v>
      </c>
      <c r="AC59" s="1">
        <v>160.4</v>
      </c>
      <c r="AD59" s="1">
        <v>162.80000000000001</v>
      </c>
      <c r="AE59" s="1">
        <v>163.19999999999999</v>
      </c>
    </row>
    <row r="60" spans="1:31" x14ac:dyDescent="0.25">
      <c r="A60" s="1" t="s">
        <v>34</v>
      </c>
      <c r="B60" s="1">
        <v>2022</v>
      </c>
      <c r="C60" s="1" t="s">
        <v>36</v>
      </c>
      <c r="D60" s="1" t="s">
        <v>192</v>
      </c>
      <c r="E60" s="1">
        <v>151.30000000000001</v>
      </c>
      <c r="F60" s="1">
        <v>210.7</v>
      </c>
      <c r="G60" s="1">
        <v>167.8</v>
      </c>
      <c r="H60" s="1">
        <v>162.19999999999999</v>
      </c>
      <c r="I60" s="1">
        <v>194.6</v>
      </c>
      <c r="J60" s="1">
        <v>157.6</v>
      </c>
      <c r="K60" s="1">
        <v>166.9</v>
      </c>
      <c r="L60" s="1">
        <v>163.9</v>
      </c>
      <c r="M60" s="1">
        <v>118.8</v>
      </c>
      <c r="N60" s="1">
        <v>177.4</v>
      </c>
      <c r="O60" s="1">
        <v>165.3</v>
      </c>
      <c r="P60" s="1">
        <v>179.3</v>
      </c>
      <c r="Q60" s="1">
        <v>168.4</v>
      </c>
      <c r="R60" s="1">
        <v>193.7</v>
      </c>
      <c r="S60" s="1">
        <v>172.1</v>
      </c>
      <c r="T60" s="1">
        <v>164.6</v>
      </c>
      <c r="U60" s="1">
        <v>171.1</v>
      </c>
      <c r="V60" s="1">
        <v>165.3</v>
      </c>
      <c r="W60" s="1">
        <v>167.2</v>
      </c>
      <c r="X60" s="1">
        <v>162.80000000000001</v>
      </c>
      <c r="Y60" s="1">
        <v>173</v>
      </c>
      <c r="Z60" s="1">
        <v>157.9</v>
      </c>
      <c r="AA60" s="1">
        <v>163.30000000000001</v>
      </c>
      <c r="AB60" s="1">
        <v>166</v>
      </c>
      <c r="AC60" s="1">
        <v>167.2</v>
      </c>
      <c r="AD60" s="1">
        <v>164.6</v>
      </c>
      <c r="AE60" s="1">
        <v>167.7</v>
      </c>
    </row>
    <row r="61" spans="1:31" x14ac:dyDescent="0.25">
      <c r="A61" s="1" t="s">
        <v>30</v>
      </c>
      <c r="B61" s="1">
        <v>2018</v>
      </c>
      <c r="C61" s="1" t="s">
        <v>38</v>
      </c>
      <c r="D61" s="1" t="s">
        <v>147</v>
      </c>
      <c r="E61" s="1">
        <v>137.4</v>
      </c>
      <c r="F61" s="1">
        <v>145.69999999999999</v>
      </c>
      <c r="G61" s="1">
        <v>135.5</v>
      </c>
      <c r="H61" s="1">
        <v>142.9</v>
      </c>
      <c r="I61" s="1">
        <v>123.6</v>
      </c>
      <c r="J61" s="1">
        <v>157.5</v>
      </c>
      <c r="K61" s="1">
        <v>137.80000000000001</v>
      </c>
      <c r="L61" s="1">
        <v>127.2</v>
      </c>
      <c r="M61" s="1">
        <v>111.8</v>
      </c>
      <c r="N61" s="1">
        <v>137.4</v>
      </c>
      <c r="O61" s="1">
        <v>132.19999999999999</v>
      </c>
      <c r="P61" s="1">
        <v>154.30000000000001</v>
      </c>
      <c r="Q61" s="1">
        <v>139.1</v>
      </c>
      <c r="R61" s="1">
        <v>157</v>
      </c>
      <c r="S61" s="1">
        <v>150.80000000000001</v>
      </c>
      <c r="T61" s="1">
        <v>144.1</v>
      </c>
      <c r="U61" s="1">
        <v>149.80000000000001</v>
      </c>
      <c r="V61" s="14">
        <f>VLOOKUP($D61,Notes!$B$2:$C$229,2,0)</f>
        <v>143.19999999999999</v>
      </c>
      <c r="W61" s="1">
        <v>144.30000000000001</v>
      </c>
      <c r="X61" s="1">
        <v>141.80000000000001</v>
      </c>
      <c r="Y61" s="1">
        <v>138.4</v>
      </c>
      <c r="Z61" s="1">
        <v>126.4</v>
      </c>
      <c r="AA61" s="1">
        <v>136.80000000000001</v>
      </c>
      <c r="AB61" s="1">
        <v>144.4</v>
      </c>
      <c r="AC61" s="1">
        <v>131.19999999999999</v>
      </c>
      <c r="AD61" s="1">
        <v>135.1</v>
      </c>
      <c r="AE61" s="1">
        <v>139.80000000000001</v>
      </c>
    </row>
    <row r="62" spans="1:31" x14ac:dyDescent="0.25">
      <c r="A62" s="1" t="s">
        <v>33</v>
      </c>
      <c r="B62" s="1">
        <v>2021</v>
      </c>
      <c r="C62" s="1" t="s">
        <v>36</v>
      </c>
      <c r="D62" s="1" t="s">
        <v>180</v>
      </c>
      <c r="E62" s="1">
        <v>147.5</v>
      </c>
      <c r="F62" s="1">
        <v>197.5</v>
      </c>
      <c r="G62" s="1">
        <v>164.7</v>
      </c>
      <c r="H62" s="1">
        <v>155.6</v>
      </c>
      <c r="I62" s="1">
        <v>156.4</v>
      </c>
      <c r="J62" s="1">
        <v>157.30000000000001</v>
      </c>
      <c r="K62" s="1">
        <v>166.1</v>
      </c>
      <c r="L62" s="1">
        <v>161.1</v>
      </c>
      <c r="M62" s="1">
        <v>114.3</v>
      </c>
      <c r="N62" s="1">
        <v>162.6</v>
      </c>
      <c r="O62" s="1">
        <v>150.69999999999999</v>
      </c>
      <c r="P62" s="1">
        <v>170.3</v>
      </c>
      <c r="Q62" s="1">
        <v>160.4</v>
      </c>
      <c r="R62" s="1">
        <v>193.5</v>
      </c>
      <c r="S62" s="1">
        <v>155.1</v>
      </c>
      <c r="T62" s="1">
        <v>138.69999999999999</v>
      </c>
      <c r="U62" s="1">
        <v>152.6</v>
      </c>
      <c r="V62" s="1">
        <v>159.9</v>
      </c>
      <c r="W62" s="1">
        <v>154.80000000000001</v>
      </c>
      <c r="X62" s="1">
        <v>147.19999999999999</v>
      </c>
      <c r="Y62" s="1">
        <v>156.9</v>
      </c>
      <c r="Z62" s="1">
        <v>141.69999999999999</v>
      </c>
      <c r="AA62" s="1">
        <v>148.6</v>
      </c>
      <c r="AB62" s="1">
        <v>157.6</v>
      </c>
      <c r="AC62" s="1">
        <v>154.9</v>
      </c>
      <c r="AD62" s="1">
        <v>150</v>
      </c>
      <c r="AE62" s="1">
        <v>156.9</v>
      </c>
    </row>
    <row r="63" spans="1:31" x14ac:dyDescent="0.25">
      <c r="A63" s="1" t="s">
        <v>34</v>
      </c>
      <c r="B63" s="1">
        <v>2021</v>
      </c>
      <c r="C63" s="1" t="s">
        <v>41</v>
      </c>
      <c r="D63" s="1" t="s">
        <v>185</v>
      </c>
      <c r="E63" s="1">
        <v>146.6</v>
      </c>
      <c r="F63" s="1">
        <v>204</v>
      </c>
      <c r="G63" s="1">
        <v>172.8</v>
      </c>
      <c r="H63" s="1">
        <v>158.4</v>
      </c>
      <c r="I63" s="1">
        <v>188</v>
      </c>
      <c r="J63" s="1">
        <v>156.80000000000001</v>
      </c>
      <c r="K63" s="1">
        <v>162.19999999999999</v>
      </c>
      <c r="L63" s="1">
        <v>164.1</v>
      </c>
      <c r="M63" s="1">
        <v>119.7</v>
      </c>
      <c r="N63" s="1">
        <v>168.8</v>
      </c>
      <c r="O63" s="1">
        <v>162.69999999999999</v>
      </c>
      <c r="P63" s="1">
        <v>173.9</v>
      </c>
      <c r="Q63" s="1">
        <v>164</v>
      </c>
      <c r="R63" s="1">
        <v>192.1</v>
      </c>
      <c r="S63" s="1">
        <v>164.5</v>
      </c>
      <c r="T63" s="1">
        <v>155.30000000000001</v>
      </c>
      <c r="U63" s="1">
        <v>163.19999999999999</v>
      </c>
      <c r="V63" s="1">
        <v>162.1</v>
      </c>
      <c r="W63" s="1">
        <v>162.6</v>
      </c>
      <c r="X63" s="1">
        <v>157.5</v>
      </c>
      <c r="Y63" s="1">
        <v>168.4</v>
      </c>
      <c r="Z63" s="1">
        <v>154</v>
      </c>
      <c r="AA63" s="1">
        <v>157.6</v>
      </c>
      <c r="AB63" s="1">
        <v>163.80000000000001</v>
      </c>
      <c r="AC63" s="1">
        <v>160</v>
      </c>
      <c r="AD63" s="1">
        <v>160</v>
      </c>
      <c r="AE63" s="1">
        <v>163.19999999999999</v>
      </c>
    </row>
    <row r="64" spans="1:31" x14ac:dyDescent="0.25">
      <c r="A64" s="1" t="s">
        <v>34</v>
      </c>
      <c r="B64" s="1">
        <v>2021</v>
      </c>
      <c r="C64" s="1" t="s">
        <v>42</v>
      </c>
      <c r="D64" s="1" t="s">
        <v>186</v>
      </c>
      <c r="E64" s="1">
        <v>146.6</v>
      </c>
      <c r="F64" s="1">
        <v>204</v>
      </c>
      <c r="G64" s="1">
        <v>172.8</v>
      </c>
      <c r="H64" s="1">
        <v>158.4</v>
      </c>
      <c r="I64" s="1">
        <v>188</v>
      </c>
      <c r="J64" s="1">
        <v>156.69999999999999</v>
      </c>
      <c r="K64" s="1">
        <v>162.30000000000001</v>
      </c>
      <c r="L64" s="1">
        <v>164.1</v>
      </c>
      <c r="M64" s="1">
        <v>119.7</v>
      </c>
      <c r="N64" s="1">
        <v>168.8</v>
      </c>
      <c r="O64" s="1">
        <v>162.69999999999999</v>
      </c>
      <c r="P64" s="1">
        <v>173.9</v>
      </c>
      <c r="Q64" s="1">
        <v>164</v>
      </c>
      <c r="R64" s="1">
        <v>192.1</v>
      </c>
      <c r="S64" s="1">
        <v>164.6</v>
      </c>
      <c r="T64" s="1">
        <v>155.30000000000001</v>
      </c>
      <c r="U64" s="1">
        <v>163.30000000000001</v>
      </c>
      <c r="V64" s="1">
        <v>162.1</v>
      </c>
      <c r="W64" s="1">
        <v>162.6</v>
      </c>
      <c r="X64" s="1">
        <v>157.5</v>
      </c>
      <c r="Y64" s="1">
        <v>168.4</v>
      </c>
      <c r="Z64" s="1">
        <v>154</v>
      </c>
      <c r="AA64" s="1">
        <v>157.69999999999999</v>
      </c>
      <c r="AB64" s="1">
        <v>163.69999999999999</v>
      </c>
      <c r="AC64" s="1">
        <v>160</v>
      </c>
      <c r="AD64" s="1">
        <v>160</v>
      </c>
      <c r="AE64" s="1">
        <v>163.19999999999999</v>
      </c>
    </row>
    <row r="65" spans="1:31" x14ac:dyDescent="0.25">
      <c r="A65" s="1" t="s">
        <v>30</v>
      </c>
      <c r="B65" s="1">
        <v>2022</v>
      </c>
      <c r="C65" s="1" t="s">
        <v>45</v>
      </c>
      <c r="D65" s="1" t="s">
        <v>201</v>
      </c>
      <c r="E65" s="1">
        <v>168.8</v>
      </c>
      <c r="F65" s="1">
        <v>206.9</v>
      </c>
      <c r="G65" s="1">
        <v>189.1</v>
      </c>
      <c r="H65" s="1">
        <v>173.4</v>
      </c>
      <c r="I65" s="1">
        <v>193.9</v>
      </c>
      <c r="J65" s="1">
        <v>156.69999999999999</v>
      </c>
      <c r="K65" s="1">
        <v>150.19999999999999</v>
      </c>
      <c r="L65" s="1">
        <v>170.5</v>
      </c>
      <c r="M65" s="1">
        <v>121.2</v>
      </c>
      <c r="N65" s="1">
        <v>207.5</v>
      </c>
      <c r="O65" s="1">
        <v>176.8</v>
      </c>
      <c r="P65" s="1">
        <v>187.7</v>
      </c>
      <c r="Q65" s="1">
        <v>174.4</v>
      </c>
      <c r="R65" s="1">
        <v>195.9</v>
      </c>
      <c r="S65" s="1">
        <v>188.1</v>
      </c>
      <c r="T65" s="1">
        <v>185.9</v>
      </c>
      <c r="U65" s="1">
        <v>187.8</v>
      </c>
      <c r="V65" s="14">
        <f>VLOOKUP($D65,Notes!$B$2:$C$229,2,0)</f>
        <v>170.7</v>
      </c>
      <c r="W65" s="1">
        <v>182.8</v>
      </c>
      <c r="X65" s="1">
        <v>176.4</v>
      </c>
      <c r="Y65" s="1">
        <v>183.5</v>
      </c>
      <c r="Z65" s="1">
        <v>167.8</v>
      </c>
      <c r="AA65" s="1">
        <v>171.2</v>
      </c>
      <c r="AB65" s="1">
        <v>177.3</v>
      </c>
      <c r="AC65" s="1">
        <v>175.7</v>
      </c>
      <c r="AD65" s="1">
        <v>175.5</v>
      </c>
      <c r="AE65" s="1">
        <v>177.1</v>
      </c>
    </row>
    <row r="66" spans="1:31" x14ac:dyDescent="0.25">
      <c r="A66" s="1" t="s">
        <v>34</v>
      </c>
      <c r="B66" s="1">
        <v>2021</v>
      </c>
      <c r="C66" s="1" t="s">
        <v>44</v>
      </c>
      <c r="D66" s="1" t="s">
        <v>188</v>
      </c>
      <c r="E66" s="1">
        <v>148.19999999999999</v>
      </c>
      <c r="F66" s="1">
        <v>201.6</v>
      </c>
      <c r="G66" s="1">
        <v>173</v>
      </c>
      <c r="H66" s="1">
        <v>159.30000000000001</v>
      </c>
      <c r="I66" s="1">
        <v>190.1</v>
      </c>
      <c r="J66" s="1">
        <v>156.5</v>
      </c>
      <c r="K66" s="1">
        <v>199.2</v>
      </c>
      <c r="L66" s="1">
        <v>165.3</v>
      </c>
      <c r="M66" s="1">
        <v>122.4</v>
      </c>
      <c r="N66" s="1">
        <v>169.6</v>
      </c>
      <c r="O66" s="1">
        <v>163.69999999999999</v>
      </c>
      <c r="P66" s="1">
        <v>175.5</v>
      </c>
      <c r="Q66" s="1">
        <v>169.7</v>
      </c>
      <c r="R66" s="1">
        <v>192.9</v>
      </c>
      <c r="S66" s="1">
        <v>167.2</v>
      </c>
      <c r="T66" s="1">
        <v>157.4</v>
      </c>
      <c r="U66" s="1">
        <v>165.8</v>
      </c>
      <c r="V66" s="1">
        <v>164.2</v>
      </c>
      <c r="W66" s="1">
        <v>163.9</v>
      </c>
      <c r="X66" s="1">
        <v>159.30000000000001</v>
      </c>
      <c r="Y66" s="1">
        <v>169.9</v>
      </c>
      <c r="Z66" s="1">
        <v>154.80000000000001</v>
      </c>
      <c r="AA66" s="1">
        <v>159.80000000000001</v>
      </c>
      <c r="AB66" s="1">
        <v>164.3</v>
      </c>
      <c r="AC66" s="1">
        <v>162.19999999999999</v>
      </c>
      <c r="AD66" s="1">
        <v>161.4</v>
      </c>
      <c r="AE66" s="1">
        <v>166.7</v>
      </c>
    </row>
    <row r="67" spans="1:31" x14ac:dyDescent="0.25">
      <c r="A67" s="1" t="s">
        <v>33</v>
      </c>
      <c r="B67" s="1">
        <v>2022</v>
      </c>
      <c r="C67" s="1" t="s">
        <v>31</v>
      </c>
      <c r="D67" s="1" t="s">
        <v>190</v>
      </c>
      <c r="E67" s="1">
        <v>152.19999999999999</v>
      </c>
      <c r="F67" s="1">
        <v>202.1</v>
      </c>
      <c r="G67" s="1">
        <v>180.1</v>
      </c>
      <c r="H67" s="1">
        <v>160.4</v>
      </c>
      <c r="I67" s="1">
        <v>171</v>
      </c>
      <c r="J67" s="1">
        <v>156.5</v>
      </c>
      <c r="K67" s="1">
        <v>203.6</v>
      </c>
      <c r="L67" s="1">
        <v>163.80000000000001</v>
      </c>
      <c r="M67" s="1">
        <v>121.3</v>
      </c>
      <c r="N67" s="1">
        <v>169.8</v>
      </c>
      <c r="O67" s="1">
        <v>156.6</v>
      </c>
      <c r="P67" s="1">
        <v>179</v>
      </c>
      <c r="Q67" s="1">
        <v>170.3</v>
      </c>
      <c r="R67" s="1">
        <v>196.4</v>
      </c>
      <c r="S67" s="1">
        <v>164.7</v>
      </c>
      <c r="T67" s="1">
        <v>148.5</v>
      </c>
      <c r="U67" s="1">
        <v>162.19999999999999</v>
      </c>
      <c r="V67" s="1">
        <v>164.5</v>
      </c>
      <c r="W67" s="1">
        <v>161.6</v>
      </c>
      <c r="X67" s="1">
        <v>156.80000000000001</v>
      </c>
      <c r="Y67" s="1">
        <v>166.1</v>
      </c>
      <c r="Z67" s="1">
        <v>152.69999999999999</v>
      </c>
      <c r="AA67" s="1">
        <v>158.4</v>
      </c>
      <c r="AB67" s="1">
        <v>161</v>
      </c>
      <c r="AC67" s="1">
        <v>162.80000000000001</v>
      </c>
      <c r="AD67" s="1">
        <v>158.6</v>
      </c>
      <c r="AE67" s="1">
        <v>165</v>
      </c>
    </row>
    <row r="68" spans="1:31" x14ac:dyDescent="0.25">
      <c r="A68" s="1" t="s">
        <v>30</v>
      </c>
      <c r="B68" s="1">
        <v>2018</v>
      </c>
      <c r="C68" s="1" t="s">
        <v>37</v>
      </c>
      <c r="D68" s="1" t="s">
        <v>146</v>
      </c>
      <c r="E68" s="1">
        <v>137.1</v>
      </c>
      <c r="F68" s="1">
        <v>144.5</v>
      </c>
      <c r="G68" s="1">
        <v>135.9</v>
      </c>
      <c r="H68" s="1">
        <v>142.4</v>
      </c>
      <c r="I68" s="1">
        <v>123.5</v>
      </c>
      <c r="J68" s="1">
        <v>156.4</v>
      </c>
      <c r="K68" s="1">
        <v>135.1</v>
      </c>
      <c r="L68" s="1">
        <v>128.4</v>
      </c>
      <c r="M68" s="1">
        <v>115.2</v>
      </c>
      <c r="N68" s="1">
        <v>137.19999999999999</v>
      </c>
      <c r="O68" s="1">
        <v>131.9</v>
      </c>
      <c r="P68" s="1">
        <v>153.80000000000001</v>
      </c>
      <c r="Q68" s="1">
        <v>138.6</v>
      </c>
      <c r="R68" s="1">
        <v>156.1</v>
      </c>
      <c r="S68" s="1">
        <v>150.1</v>
      </c>
      <c r="T68" s="1">
        <v>143.30000000000001</v>
      </c>
      <c r="U68" s="1">
        <v>149.1</v>
      </c>
      <c r="V68" s="14">
        <f>VLOOKUP($D68,Notes!$B$2:$C$229,2,0)</f>
        <v>142.9</v>
      </c>
      <c r="W68" s="1">
        <v>143.80000000000001</v>
      </c>
      <c r="X68" s="1">
        <v>140.9</v>
      </c>
      <c r="Y68" s="1">
        <v>137.6</v>
      </c>
      <c r="Z68" s="1">
        <v>125.3</v>
      </c>
      <c r="AA68" s="1">
        <v>136</v>
      </c>
      <c r="AB68" s="1">
        <v>143.69999999999999</v>
      </c>
      <c r="AC68" s="1">
        <v>130.4</v>
      </c>
      <c r="AD68" s="1">
        <v>134.19999999999999</v>
      </c>
      <c r="AE68" s="1">
        <v>139.1</v>
      </c>
    </row>
    <row r="69" spans="1:31" x14ac:dyDescent="0.25">
      <c r="A69" s="1" t="s">
        <v>33</v>
      </c>
      <c r="B69" s="1">
        <v>2022</v>
      </c>
      <c r="C69" s="1" t="s">
        <v>35</v>
      </c>
      <c r="D69" s="1" t="s">
        <v>191</v>
      </c>
      <c r="E69" s="1">
        <v>152.5</v>
      </c>
      <c r="F69" s="1">
        <v>205.2</v>
      </c>
      <c r="G69" s="1">
        <v>176.4</v>
      </c>
      <c r="H69" s="1">
        <v>160.6</v>
      </c>
      <c r="I69" s="1">
        <v>171.5</v>
      </c>
      <c r="J69" s="1">
        <v>156.4</v>
      </c>
      <c r="K69" s="1">
        <v>198</v>
      </c>
      <c r="L69" s="1">
        <v>163.19999999999999</v>
      </c>
      <c r="M69" s="1">
        <v>120.6</v>
      </c>
      <c r="N69" s="1">
        <v>172.2</v>
      </c>
      <c r="O69" s="1">
        <v>156.69999999999999</v>
      </c>
      <c r="P69" s="1">
        <v>180</v>
      </c>
      <c r="Q69" s="1">
        <v>170.2</v>
      </c>
      <c r="R69" s="1">
        <v>196.5</v>
      </c>
      <c r="S69" s="1">
        <v>165.7</v>
      </c>
      <c r="T69" s="1">
        <v>150.4</v>
      </c>
      <c r="U69" s="1">
        <v>163.4</v>
      </c>
      <c r="V69" s="1">
        <v>165.5</v>
      </c>
      <c r="W69" s="1">
        <v>163</v>
      </c>
      <c r="X69" s="1">
        <v>157.4</v>
      </c>
      <c r="Y69" s="1">
        <v>167.2</v>
      </c>
      <c r="Z69" s="1">
        <v>153.1</v>
      </c>
      <c r="AA69" s="1">
        <v>159.5</v>
      </c>
      <c r="AB69" s="1">
        <v>162</v>
      </c>
      <c r="AC69" s="1">
        <v>164.2</v>
      </c>
      <c r="AD69" s="1">
        <v>159.4</v>
      </c>
      <c r="AE69" s="1">
        <v>165.5</v>
      </c>
    </row>
    <row r="70" spans="1:31" x14ac:dyDescent="0.25">
      <c r="A70" s="1" t="s">
        <v>30</v>
      </c>
      <c r="B70" s="1">
        <v>2023</v>
      </c>
      <c r="C70" s="1" t="s">
        <v>31</v>
      </c>
      <c r="D70" s="1" t="s">
        <v>202</v>
      </c>
      <c r="E70" s="1">
        <v>174</v>
      </c>
      <c r="F70" s="1">
        <v>208.3</v>
      </c>
      <c r="G70" s="1">
        <v>192.9</v>
      </c>
      <c r="H70" s="1">
        <v>174.3</v>
      </c>
      <c r="I70" s="1">
        <v>192.6</v>
      </c>
      <c r="J70" s="1">
        <v>156.30000000000001</v>
      </c>
      <c r="K70" s="1">
        <v>142.9</v>
      </c>
      <c r="L70" s="1">
        <v>170.7</v>
      </c>
      <c r="M70" s="1">
        <v>120.3</v>
      </c>
      <c r="N70" s="1">
        <v>210.5</v>
      </c>
      <c r="O70" s="1">
        <v>176.9</v>
      </c>
      <c r="P70" s="1">
        <v>188.5</v>
      </c>
      <c r="Q70" s="1">
        <v>175</v>
      </c>
      <c r="R70" s="1">
        <v>196.9</v>
      </c>
      <c r="S70" s="1">
        <v>189</v>
      </c>
      <c r="T70" s="1">
        <v>186.3</v>
      </c>
      <c r="U70" s="1">
        <v>188.6</v>
      </c>
      <c r="V70" s="14">
        <f>VLOOKUP($D70,Notes!$B$2:$C$229,2,0)</f>
        <v>172.1</v>
      </c>
      <c r="W70" s="1">
        <v>183.2</v>
      </c>
      <c r="X70" s="1">
        <v>177.2</v>
      </c>
      <c r="Y70" s="1">
        <v>184.7</v>
      </c>
      <c r="Z70" s="1">
        <v>168.2</v>
      </c>
      <c r="AA70" s="1">
        <v>171.8</v>
      </c>
      <c r="AB70" s="1">
        <v>177.8</v>
      </c>
      <c r="AC70" s="1">
        <v>178.4</v>
      </c>
      <c r="AD70" s="1">
        <v>176.5</v>
      </c>
      <c r="AE70" s="1">
        <v>177.8</v>
      </c>
    </row>
    <row r="71" spans="1:31" x14ac:dyDescent="0.25">
      <c r="A71" s="1" t="s">
        <v>30</v>
      </c>
      <c r="B71" s="1">
        <v>2022</v>
      </c>
      <c r="C71" s="1" t="s">
        <v>36</v>
      </c>
      <c r="D71" s="1" t="s">
        <v>192</v>
      </c>
      <c r="E71" s="1">
        <v>150.19999999999999</v>
      </c>
      <c r="F71" s="1">
        <v>208</v>
      </c>
      <c r="G71" s="1">
        <v>167.9</v>
      </c>
      <c r="H71" s="1">
        <v>162</v>
      </c>
      <c r="I71" s="1">
        <v>203.1</v>
      </c>
      <c r="J71" s="1">
        <v>155.9</v>
      </c>
      <c r="K71" s="1">
        <v>155.80000000000001</v>
      </c>
      <c r="L71" s="1">
        <v>164.2</v>
      </c>
      <c r="M71" s="1">
        <v>118.1</v>
      </c>
      <c r="N71" s="1">
        <v>178.7</v>
      </c>
      <c r="O71" s="1">
        <v>171.2</v>
      </c>
      <c r="P71" s="1">
        <v>177.4</v>
      </c>
      <c r="Q71" s="1">
        <v>166.6</v>
      </c>
      <c r="R71" s="1">
        <v>192.3</v>
      </c>
      <c r="S71" s="1">
        <v>175.4</v>
      </c>
      <c r="T71" s="1">
        <v>173.2</v>
      </c>
      <c r="U71" s="1">
        <v>175.1</v>
      </c>
      <c r="V71" s="14">
        <f>VLOOKUP($D71,Notes!$B$2:$C$229,2,0)</f>
        <v>165.3</v>
      </c>
      <c r="W71" s="1">
        <v>168.9</v>
      </c>
      <c r="X71" s="1">
        <v>166.5</v>
      </c>
      <c r="Y71" s="1">
        <v>176</v>
      </c>
      <c r="Z71" s="1">
        <v>162</v>
      </c>
      <c r="AA71" s="1">
        <v>166.6</v>
      </c>
      <c r="AB71" s="1">
        <v>170.6</v>
      </c>
      <c r="AC71" s="1">
        <v>167.4</v>
      </c>
      <c r="AD71" s="1">
        <v>168.3</v>
      </c>
      <c r="AE71" s="1">
        <v>168.7</v>
      </c>
    </row>
    <row r="72" spans="1:31" x14ac:dyDescent="0.25">
      <c r="A72" s="1" t="s">
        <v>33</v>
      </c>
      <c r="B72" s="1">
        <v>2020</v>
      </c>
      <c r="C72" s="1" t="s">
        <v>43</v>
      </c>
      <c r="D72" s="1" t="s">
        <v>175</v>
      </c>
      <c r="E72" s="1">
        <v>150.6</v>
      </c>
      <c r="F72" s="1">
        <v>193.7</v>
      </c>
      <c r="G72" s="1">
        <v>164.8</v>
      </c>
      <c r="H72" s="1">
        <v>153.69999999999999</v>
      </c>
      <c r="I72" s="1">
        <v>135.69999999999999</v>
      </c>
      <c r="J72" s="1">
        <v>155.69999999999999</v>
      </c>
      <c r="K72" s="1">
        <v>226</v>
      </c>
      <c r="L72" s="1">
        <v>152.19999999999999</v>
      </c>
      <c r="M72" s="1">
        <v>118.1</v>
      </c>
      <c r="N72" s="1">
        <v>161.30000000000001</v>
      </c>
      <c r="O72" s="1">
        <v>139.19999999999999</v>
      </c>
      <c r="P72" s="1">
        <v>164.8</v>
      </c>
      <c r="Q72" s="1">
        <v>164.4</v>
      </c>
      <c r="R72" s="1">
        <v>188.7</v>
      </c>
      <c r="S72" s="1">
        <v>150.5</v>
      </c>
      <c r="T72" s="1">
        <v>136.1</v>
      </c>
      <c r="U72" s="1">
        <v>148.30000000000001</v>
      </c>
      <c r="V72" s="1">
        <v>156.5</v>
      </c>
      <c r="W72" s="1">
        <v>137.1</v>
      </c>
      <c r="X72" s="1">
        <v>145.1</v>
      </c>
      <c r="Y72" s="1">
        <v>151</v>
      </c>
      <c r="Z72" s="1">
        <v>135.4</v>
      </c>
      <c r="AA72" s="1">
        <v>142</v>
      </c>
      <c r="AB72" s="1">
        <v>155.69999999999999</v>
      </c>
      <c r="AC72" s="1">
        <v>158.1</v>
      </c>
      <c r="AD72" s="1">
        <v>146.19999999999999</v>
      </c>
      <c r="AE72" s="1">
        <v>155.19999999999999</v>
      </c>
    </row>
    <row r="73" spans="1:31" x14ac:dyDescent="0.25">
      <c r="A73" s="1" t="s">
        <v>30</v>
      </c>
      <c r="B73" s="1">
        <v>2021</v>
      </c>
      <c r="C73" s="1" t="s">
        <v>41</v>
      </c>
      <c r="D73" s="1" t="s">
        <v>185</v>
      </c>
      <c r="E73" s="1">
        <v>144.9</v>
      </c>
      <c r="F73" s="1">
        <v>202.3</v>
      </c>
      <c r="G73" s="1">
        <v>176.5</v>
      </c>
      <c r="H73" s="1">
        <v>157.5</v>
      </c>
      <c r="I73" s="1">
        <v>190.9</v>
      </c>
      <c r="J73" s="1">
        <v>155.69999999999999</v>
      </c>
      <c r="K73" s="1">
        <v>153.9</v>
      </c>
      <c r="L73" s="1">
        <v>162.80000000000001</v>
      </c>
      <c r="M73" s="1">
        <v>115.2</v>
      </c>
      <c r="N73" s="1">
        <v>169.8</v>
      </c>
      <c r="O73" s="1">
        <v>167.6</v>
      </c>
      <c r="P73" s="1">
        <v>171.9</v>
      </c>
      <c r="Q73" s="1">
        <v>161.80000000000001</v>
      </c>
      <c r="R73" s="1">
        <v>190.2</v>
      </c>
      <c r="S73" s="1">
        <v>167</v>
      </c>
      <c r="T73" s="1">
        <v>162.6</v>
      </c>
      <c r="U73" s="1">
        <v>166.3</v>
      </c>
      <c r="V73" s="14">
        <f>VLOOKUP($D73,Notes!$B$2:$C$229,2,0)</f>
        <v>162.1</v>
      </c>
      <c r="W73" s="1">
        <v>163.1</v>
      </c>
      <c r="X73" s="1">
        <v>160.9</v>
      </c>
      <c r="Y73" s="1">
        <v>171.1</v>
      </c>
      <c r="Z73" s="1">
        <v>157.69999999999999</v>
      </c>
      <c r="AA73" s="1">
        <v>161.1</v>
      </c>
      <c r="AB73" s="1">
        <v>167.5</v>
      </c>
      <c r="AC73" s="1">
        <v>160.30000000000001</v>
      </c>
      <c r="AD73" s="1">
        <v>163.30000000000001</v>
      </c>
      <c r="AE73" s="1">
        <v>163.6</v>
      </c>
    </row>
    <row r="74" spans="1:31" x14ac:dyDescent="0.25">
      <c r="A74" s="1" t="s">
        <v>34</v>
      </c>
      <c r="B74" s="1">
        <v>2021</v>
      </c>
      <c r="C74" s="1" t="s">
        <v>43</v>
      </c>
      <c r="D74" s="1" t="s">
        <v>187</v>
      </c>
      <c r="E74" s="1">
        <v>147.4</v>
      </c>
      <c r="F74" s="1">
        <v>204.6</v>
      </c>
      <c r="G74" s="1">
        <v>171.2</v>
      </c>
      <c r="H74" s="1">
        <v>158.69999999999999</v>
      </c>
      <c r="I74" s="1">
        <v>190.6</v>
      </c>
      <c r="J74" s="1">
        <v>155.69999999999999</v>
      </c>
      <c r="K74" s="1">
        <v>185.3</v>
      </c>
      <c r="L74" s="1">
        <v>165.2</v>
      </c>
      <c r="M74" s="1">
        <v>121.9</v>
      </c>
      <c r="N74" s="1">
        <v>169.3</v>
      </c>
      <c r="O74" s="1">
        <v>163.19999999999999</v>
      </c>
      <c r="P74" s="1">
        <v>174.7</v>
      </c>
      <c r="Q74" s="1">
        <v>167.7</v>
      </c>
      <c r="R74" s="1">
        <v>192.7</v>
      </c>
      <c r="S74" s="1">
        <v>165.7</v>
      </c>
      <c r="T74" s="1">
        <v>156.30000000000001</v>
      </c>
      <c r="U74" s="1">
        <v>164.3</v>
      </c>
      <c r="V74" s="1">
        <v>163.6</v>
      </c>
      <c r="W74" s="1">
        <v>164.2</v>
      </c>
      <c r="X74" s="1">
        <v>158.4</v>
      </c>
      <c r="Y74" s="1">
        <v>169.1</v>
      </c>
      <c r="Z74" s="1">
        <v>155.69999999999999</v>
      </c>
      <c r="AA74" s="1">
        <v>158.6</v>
      </c>
      <c r="AB74" s="1">
        <v>163.9</v>
      </c>
      <c r="AC74" s="1">
        <v>160.80000000000001</v>
      </c>
      <c r="AD74" s="1">
        <v>161</v>
      </c>
      <c r="AE74" s="1">
        <v>165.5</v>
      </c>
    </row>
    <row r="75" spans="1:31" x14ac:dyDescent="0.25">
      <c r="A75" s="1" t="s">
        <v>33</v>
      </c>
      <c r="B75" s="1">
        <v>2020</v>
      </c>
      <c r="C75" s="1" t="s">
        <v>42</v>
      </c>
      <c r="D75" s="1" t="s">
        <v>174</v>
      </c>
      <c r="E75" s="1">
        <v>151.5</v>
      </c>
      <c r="F75" s="1">
        <v>193.1</v>
      </c>
      <c r="G75" s="1">
        <v>157.30000000000001</v>
      </c>
      <c r="H75" s="1">
        <v>153.9</v>
      </c>
      <c r="I75" s="1">
        <v>134.4</v>
      </c>
      <c r="J75" s="1">
        <v>155.4</v>
      </c>
      <c r="K75" s="1">
        <v>202</v>
      </c>
      <c r="L75" s="1">
        <v>150.80000000000001</v>
      </c>
      <c r="M75" s="1">
        <v>118.9</v>
      </c>
      <c r="N75" s="1">
        <v>160.9</v>
      </c>
      <c r="O75" s="1">
        <v>137.69999999999999</v>
      </c>
      <c r="P75" s="1">
        <v>164.4</v>
      </c>
      <c r="Q75" s="1">
        <v>161.30000000000001</v>
      </c>
      <c r="R75" s="1">
        <v>188.7</v>
      </c>
      <c r="S75" s="1">
        <v>150.19999999999999</v>
      </c>
      <c r="T75" s="1">
        <v>136.30000000000001</v>
      </c>
      <c r="U75" s="1">
        <v>148.1</v>
      </c>
      <c r="V75" s="1">
        <v>156.30000000000001</v>
      </c>
      <c r="W75" s="1">
        <v>137.19999999999999</v>
      </c>
      <c r="X75" s="1">
        <v>145.4</v>
      </c>
      <c r="Y75" s="1">
        <v>150</v>
      </c>
      <c r="Z75" s="1">
        <v>135.1</v>
      </c>
      <c r="AA75" s="1">
        <v>141.80000000000001</v>
      </c>
      <c r="AB75" s="1">
        <v>154.9</v>
      </c>
      <c r="AC75" s="1">
        <v>159.80000000000001</v>
      </c>
      <c r="AD75" s="1">
        <v>146</v>
      </c>
      <c r="AE75" s="1">
        <v>154</v>
      </c>
    </row>
    <row r="76" spans="1:31" x14ac:dyDescent="0.25">
      <c r="A76" s="1" t="s">
        <v>34</v>
      </c>
      <c r="B76" s="1">
        <v>2021</v>
      </c>
      <c r="C76" s="1" t="s">
        <v>45</v>
      </c>
      <c r="D76" s="1" t="s">
        <v>189</v>
      </c>
      <c r="E76" s="1">
        <v>148.69999999999999</v>
      </c>
      <c r="F76" s="1">
        <v>198.8</v>
      </c>
      <c r="G76" s="1">
        <v>177.9</v>
      </c>
      <c r="H76" s="1">
        <v>159.9</v>
      </c>
      <c r="I76" s="1">
        <v>187.6</v>
      </c>
      <c r="J76" s="1">
        <v>154.9</v>
      </c>
      <c r="K76" s="1">
        <v>188.3</v>
      </c>
      <c r="L76" s="1">
        <v>164.4</v>
      </c>
      <c r="M76" s="1">
        <v>121</v>
      </c>
      <c r="N76" s="1">
        <v>170.5</v>
      </c>
      <c r="O76" s="1">
        <v>164.2</v>
      </c>
      <c r="P76" s="1">
        <v>176.5</v>
      </c>
      <c r="Q76" s="1">
        <v>168.2</v>
      </c>
      <c r="R76" s="1">
        <v>192.4</v>
      </c>
      <c r="S76" s="1">
        <v>168.5</v>
      </c>
      <c r="T76" s="1">
        <v>158.69999999999999</v>
      </c>
      <c r="U76" s="1">
        <v>167</v>
      </c>
      <c r="V76" s="1">
        <v>163.4</v>
      </c>
      <c r="W76" s="1">
        <v>164.1</v>
      </c>
      <c r="X76" s="1">
        <v>160.19999999999999</v>
      </c>
      <c r="Y76" s="1">
        <v>170.6</v>
      </c>
      <c r="Z76" s="1">
        <v>155.69999999999999</v>
      </c>
      <c r="AA76" s="1">
        <v>160.6</v>
      </c>
      <c r="AB76" s="1">
        <v>164.4</v>
      </c>
      <c r="AC76" s="1">
        <v>162.6</v>
      </c>
      <c r="AD76" s="1">
        <v>162</v>
      </c>
      <c r="AE76" s="1">
        <v>166.2</v>
      </c>
    </row>
    <row r="77" spans="1:31" x14ac:dyDescent="0.25">
      <c r="A77" s="1" t="s">
        <v>33</v>
      </c>
      <c r="B77" s="1">
        <v>2019</v>
      </c>
      <c r="C77" s="1" t="s">
        <v>40</v>
      </c>
      <c r="D77" s="1" t="s">
        <v>160</v>
      </c>
      <c r="E77" s="1">
        <v>141.4</v>
      </c>
      <c r="F77" s="1">
        <v>160.19999999999999</v>
      </c>
      <c r="G77" s="1">
        <v>142.5</v>
      </c>
      <c r="H77" s="1">
        <v>144.1</v>
      </c>
      <c r="I77" s="1">
        <v>119.3</v>
      </c>
      <c r="J77" s="1">
        <v>154.69999999999999</v>
      </c>
      <c r="K77" s="1">
        <v>180.1</v>
      </c>
      <c r="L77" s="1">
        <v>128.9</v>
      </c>
      <c r="M77" s="1">
        <v>111.8</v>
      </c>
      <c r="N77" s="1">
        <v>141.6</v>
      </c>
      <c r="O77" s="1">
        <v>129.5</v>
      </c>
      <c r="P77" s="1">
        <v>155.6</v>
      </c>
      <c r="Q77" s="1">
        <v>147.69999999999999</v>
      </c>
      <c r="R77" s="1">
        <v>167.2</v>
      </c>
      <c r="S77" s="1">
        <v>144.69999999999999</v>
      </c>
      <c r="T77" s="1">
        <v>131.9</v>
      </c>
      <c r="U77" s="1">
        <v>142.69999999999999</v>
      </c>
      <c r="V77" s="1">
        <v>150.6</v>
      </c>
      <c r="W77" s="1">
        <v>127</v>
      </c>
      <c r="X77" s="1">
        <v>137.69999999999999</v>
      </c>
      <c r="Y77" s="1">
        <v>140.80000000000001</v>
      </c>
      <c r="Z77" s="1">
        <v>120.6</v>
      </c>
      <c r="AA77" s="1">
        <v>135</v>
      </c>
      <c r="AB77" s="1">
        <v>150.4</v>
      </c>
      <c r="AC77" s="1">
        <v>135.1</v>
      </c>
      <c r="AD77" s="1">
        <v>134.5</v>
      </c>
      <c r="AE77" s="1">
        <v>143.30000000000001</v>
      </c>
    </row>
    <row r="78" spans="1:31" x14ac:dyDescent="0.25">
      <c r="A78" s="1" t="s">
        <v>34</v>
      </c>
      <c r="B78" s="1">
        <v>2018</v>
      </c>
      <c r="C78" s="1" t="s">
        <v>38</v>
      </c>
      <c r="D78" s="1" t="s">
        <v>147</v>
      </c>
      <c r="E78" s="1">
        <v>136.6</v>
      </c>
      <c r="F78" s="1">
        <v>146.6</v>
      </c>
      <c r="G78" s="1">
        <v>133.6</v>
      </c>
      <c r="H78" s="1">
        <v>142.1</v>
      </c>
      <c r="I78" s="1">
        <v>121</v>
      </c>
      <c r="J78" s="1">
        <v>154.6</v>
      </c>
      <c r="K78" s="1">
        <v>135.6</v>
      </c>
      <c r="L78" s="1">
        <v>122.3</v>
      </c>
      <c r="M78" s="1">
        <v>109.6</v>
      </c>
      <c r="N78" s="1">
        <v>138.1</v>
      </c>
      <c r="O78" s="1">
        <v>129.9</v>
      </c>
      <c r="P78" s="1">
        <v>151.69999999999999</v>
      </c>
      <c r="Q78" s="1">
        <v>138.1</v>
      </c>
      <c r="R78" s="1">
        <v>157.9</v>
      </c>
      <c r="S78" s="1">
        <v>146</v>
      </c>
      <c r="T78" s="1">
        <v>137.4</v>
      </c>
      <c r="U78" s="1">
        <v>144.69999999999999</v>
      </c>
      <c r="V78" s="1">
        <v>143.19999999999999</v>
      </c>
      <c r="W78" s="1">
        <v>136.9</v>
      </c>
      <c r="X78" s="1">
        <v>137.4</v>
      </c>
      <c r="Y78" s="1">
        <v>136</v>
      </c>
      <c r="Z78" s="1">
        <v>122.9</v>
      </c>
      <c r="AA78" s="1">
        <v>131.80000000000001</v>
      </c>
      <c r="AB78" s="1">
        <v>142.1</v>
      </c>
      <c r="AC78" s="1">
        <v>129.9</v>
      </c>
      <c r="AD78" s="1">
        <v>132.1</v>
      </c>
      <c r="AE78" s="1">
        <v>137.80000000000001</v>
      </c>
    </row>
    <row r="79" spans="1:31" x14ac:dyDescent="0.25">
      <c r="A79" s="1" t="s">
        <v>33</v>
      </c>
      <c r="B79" s="1">
        <v>2020</v>
      </c>
      <c r="C79" s="1" t="s">
        <v>41</v>
      </c>
      <c r="D79" s="1" t="s">
        <v>173</v>
      </c>
      <c r="E79" s="1">
        <v>151.6</v>
      </c>
      <c r="F79" s="1">
        <v>197.8</v>
      </c>
      <c r="G79" s="1">
        <v>154.5</v>
      </c>
      <c r="H79" s="1">
        <v>153.4</v>
      </c>
      <c r="I79" s="1">
        <v>133.4</v>
      </c>
      <c r="J79" s="1">
        <v>154.5</v>
      </c>
      <c r="K79" s="1">
        <v>191.9</v>
      </c>
      <c r="L79" s="1">
        <v>151.30000000000001</v>
      </c>
      <c r="M79" s="1">
        <v>116.8</v>
      </c>
      <c r="N79" s="1">
        <v>160</v>
      </c>
      <c r="O79" s="1">
        <v>136.5</v>
      </c>
      <c r="P79" s="1">
        <v>163.30000000000001</v>
      </c>
      <c r="Q79" s="1">
        <v>159.9</v>
      </c>
      <c r="R79" s="1">
        <v>187.2</v>
      </c>
      <c r="S79" s="1">
        <v>150</v>
      </c>
      <c r="T79" s="1">
        <v>135.19999999999999</v>
      </c>
      <c r="U79" s="1">
        <v>147.80000000000001</v>
      </c>
      <c r="V79" s="1">
        <v>155.5</v>
      </c>
      <c r="W79" s="1">
        <v>138.30000000000001</v>
      </c>
      <c r="X79" s="1">
        <v>144.5</v>
      </c>
      <c r="Y79" s="1">
        <v>148.69999999999999</v>
      </c>
      <c r="Z79" s="1">
        <v>133.9</v>
      </c>
      <c r="AA79" s="1">
        <v>141.19999999999999</v>
      </c>
      <c r="AB79" s="1">
        <v>155.5</v>
      </c>
      <c r="AC79" s="1">
        <v>155.19999999999999</v>
      </c>
      <c r="AD79" s="1">
        <v>144.80000000000001</v>
      </c>
      <c r="AE79" s="1">
        <v>152.9</v>
      </c>
    </row>
    <row r="80" spans="1:31" x14ac:dyDescent="0.25">
      <c r="A80" s="1" t="s">
        <v>30</v>
      </c>
      <c r="B80" s="1">
        <v>2018</v>
      </c>
      <c r="C80" s="1" t="s">
        <v>41</v>
      </c>
      <c r="D80" s="1" t="s">
        <v>150</v>
      </c>
      <c r="E80" s="1">
        <v>139.19999999999999</v>
      </c>
      <c r="F80" s="1">
        <v>148.80000000000001</v>
      </c>
      <c r="G80" s="1">
        <v>139.1</v>
      </c>
      <c r="H80" s="1">
        <v>143.5</v>
      </c>
      <c r="I80" s="1">
        <v>125</v>
      </c>
      <c r="J80" s="1">
        <v>154.4</v>
      </c>
      <c r="K80" s="1">
        <v>156.30000000000001</v>
      </c>
      <c r="L80" s="1">
        <v>126.8</v>
      </c>
      <c r="M80" s="1">
        <v>115.4</v>
      </c>
      <c r="N80" s="1">
        <v>138.6</v>
      </c>
      <c r="O80" s="1">
        <v>133.80000000000001</v>
      </c>
      <c r="P80" s="1">
        <v>155.19999999999999</v>
      </c>
      <c r="Q80" s="1">
        <v>142.69999999999999</v>
      </c>
      <c r="R80" s="1">
        <v>156.4</v>
      </c>
      <c r="S80" s="1">
        <v>152.1</v>
      </c>
      <c r="T80" s="1">
        <v>145.80000000000001</v>
      </c>
      <c r="U80" s="1">
        <v>151.30000000000001</v>
      </c>
      <c r="V80" s="14">
        <f>VLOOKUP($D80,Notes!$B$2:$C$229,2,0)</f>
        <v>144.6</v>
      </c>
      <c r="W80" s="1">
        <v>147.69999999999999</v>
      </c>
      <c r="X80" s="1">
        <v>143.80000000000001</v>
      </c>
      <c r="Y80" s="1">
        <v>139.4</v>
      </c>
      <c r="Z80" s="1">
        <v>128.30000000000001</v>
      </c>
      <c r="AA80" s="1">
        <v>138.6</v>
      </c>
      <c r="AB80" s="1">
        <v>146.9</v>
      </c>
      <c r="AC80" s="1">
        <v>131.30000000000001</v>
      </c>
      <c r="AD80" s="1">
        <v>136.6</v>
      </c>
      <c r="AE80" s="1">
        <v>142.5</v>
      </c>
    </row>
    <row r="81" spans="1:31" x14ac:dyDescent="0.25">
      <c r="A81" s="1" t="s">
        <v>30</v>
      </c>
      <c r="B81" s="1">
        <v>2018</v>
      </c>
      <c r="C81" s="1" t="s">
        <v>39</v>
      </c>
      <c r="D81" s="1" t="s">
        <v>148</v>
      </c>
      <c r="E81" s="1">
        <v>137.6</v>
      </c>
      <c r="F81" s="1">
        <v>148.1</v>
      </c>
      <c r="G81" s="1">
        <v>136.69999999999999</v>
      </c>
      <c r="H81" s="1">
        <v>143.19999999999999</v>
      </c>
      <c r="I81" s="1">
        <v>124</v>
      </c>
      <c r="J81" s="1">
        <v>154.1</v>
      </c>
      <c r="K81" s="1">
        <v>143.5</v>
      </c>
      <c r="L81" s="1">
        <v>126</v>
      </c>
      <c r="M81" s="1">
        <v>112.4</v>
      </c>
      <c r="N81" s="1">
        <v>137.6</v>
      </c>
      <c r="O81" s="1">
        <v>132.80000000000001</v>
      </c>
      <c r="P81" s="1">
        <v>154.30000000000001</v>
      </c>
      <c r="Q81" s="1">
        <v>140</v>
      </c>
      <c r="R81" s="1">
        <v>157.30000000000001</v>
      </c>
      <c r="S81" s="1">
        <v>151.30000000000001</v>
      </c>
      <c r="T81" s="1">
        <v>144.69999999999999</v>
      </c>
      <c r="U81" s="1">
        <v>150.30000000000001</v>
      </c>
      <c r="V81" s="14">
        <f>VLOOKUP($D81,Notes!$B$2:$C$229,2,0)</f>
        <v>142.5</v>
      </c>
      <c r="W81" s="1">
        <v>145.1</v>
      </c>
      <c r="X81" s="1">
        <v>142.19999999999999</v>
      </c>
      <c r="Y81" s="1">
        <v>138.4</v>
      </c>
      <c r="Z81" s="1">
        <v>127.4</v>
      </c>
      <c r="AA81" s="1">
        <v>137.80000000000001</v>
      </c>
      <c r="AB81" s="1">
        <v>145.1</v>
      </c>
      <c r="AC81" s="1">
        <v>131.4</v>
      </c>
      <c r="AD81" s="1">
        <v>135.6</v>
      </c>
      <c r="AE81" s="1">
        <v>140.5</v>
      </c>
    </row>
    <row r="82" spans="1:31" x14ac:dyDescent="0.25">
      <c r="A82" s="1" t="s">
        <v>33</v>
      </c>
      <c r="B82" s="1">
        <v>2021</v>
      </c>
      <c r="C82" s="1" t="s">
        <v>35</v>
      </c>
      <c r="D82" s="1" t="s">
        <v>179</v>
      </c>
      <c r="E82" s="1">
        <v>147.6</v>
      </c>
      <c r="F82" s="1">
        <v>191.2</v>
      </c>
      <c r="G82" s="1">
        <v>169.9</v>
      </c>
      <c r="H82" s="1">
        <v>155.1</v>
      </c>
      <c r="I82" s="1">
        <v>151.4</v>
      </c>
      <c r="J82" s="1">
        <v>154</v>
      </c>
      <c r="K82" s="1">
        <v>180.2</v>
      </c>
      <c r="L82" s="1">
        <v>159.80000000000001</v>
      </c>
      <c r="M82" s="1">
        <v>114.9</v>
      </c>
      <c r="N82" s="1">
        <v>162.5</v>
      </c>
      <c r="O82" s="1">
        <v>149.19999999999999</v>
      </c>
      <c r="P82" s="1">
        <v>169.4</v>
      </c>
      <c r="Q82" s="1">
        <v>160.80000000000001</v>
      </c>
      <c r="R82" s="1">
        <v>193.3</v>
      </c>
      <c r="S82" s="1">
        <v>154.19999999999999</v>
      </c>
      <c r="T82" s="1">
        <v>138.19999999999999</v>
      </c>
      <c r="U82" s="1">
        <v>151.80000000000001</v>
      </c>
      <c r="V82" s="1">
        <v>159.80000000000001</v>
      </c>
      <c r="W82" s="1">
        <v>149.1</v>
      </c>
      <c r="X82" s="1">
        <v>146.5</v>
      </c>
      <c r="Y82" s="1">
        <v>156.30000000000001</v>
      </c>
      <c r="Z82" s="1">
        <v>140.5</v>
      </c>
      <c r="AA82" s="1">
        <v>147.30000000000001</v>
      </c>
      <c r="AB82" s="1">
        <v>156.6</v>
      </c>
      <c r="AC82" s="1">
        <v>156.69999999999999</v>
      </c>
      <c r="AD82" s="1">
        <v>149.30000000000001</v>
      </c>
      <c r="AE82" s="1">
        <v>156.5</v>
      </c>
    </row>
    <row r="83" spans="1:31" x14ac:dyDescent="0.25">
      <c r="A83" s="1" t="s">
        <v>33</v>
      </c>
      <c r="B83" s="1">
        <v>2019</v>
      </c>
      <c r="C83" s="1" t="s">
        <v>41</v>
      </c>
      <c r="D83" s="1" t="s">
        <v>161</v>
      </c>
      <c r="E83" s="1">
        <v>142.1</v>
      </c>
      <c r="F83" s="1">
        <v>158.30000000000001</v>
      </c>
      <c r="G83" s="1">
        <v>140.80000000000001</v>
      </c>
      <c r="H83" s="1">
        <v>144.9</v>
      </c>
      <c r="I83" s="1">
        <v>119.9</v>
      </c>
      <c r="J83" s="1">
        <v>153.9</v>
      </c>
      <c r="K83" s="1">
        <v>189.1</v>
      </c>
      <c r="L83" s="1">
        <v>129.80000000000001</v>
      </c>
      <c r="M83" s="1">
        <v>112.7</v>
      </c>
      <c r="N83" s="1">
        <v>142.5</v>
      </c>
      <c r="O83" s="1">
        <v>129.80000000000001</v>
      </c>
      <c r="P83" s="1">
        <v>156.19999999999999</v>
      </c>
      <c r="Q83" s="1">
        <v>149.1</v>
      </c>
      <c r="R83" s="1">
        <v>167.9</v>
      </c>
      <c r="S83" s="1">
        <v>145</v>
      </c>
      <c r="T83" s="1">
        <v>132.19999999999999</v>
      </c>
      <c r="U83" s="1">
        <v>143</v>
      </c>
      <c r="V83" s="1">
        <v>151.6</v>
      </c>
      <c r="W83" s="1">
        <v>125.5</v>
      </c>
      <c r="X83" s="1">
        <v>138.1</v>
      </c>
      <c r="Y83" s="1">
        <v>141.5</v>
      </c>
      <c r="Z83" s="1">
        <v>120.8</v>
      </c>
      <c r="AA83" s="1">
        <v>135.4</v>
      </c>
      <c r="AB83" s="1">
        <v>151.5</v>
      </c>
      <c r="AC83" s="1">
        <v>137.80000000000001</v>
      </c>
      <c r="AD83" s="1">
        <v>135.30000000000001</v>
      </c>
      <c r="AE83" s="1">
        <v>144.19999999999999</v>
      </c>
    </row>
    <row r="84" spans="1:31" x14ac:dyDescent="0.25">
      <c r="A84" s="1" t="s">
        <v>34</v>
      </c>
      <c r="B84" s="1">
        <v>2021</v>
      </c>
      <c r="C84" s="1" t="s">
        <v>36</v>
      </c>
      <c r="D84" s="1" t="s">
        <v>180</v>
      </c>
      <c r="E84" s="1">
        <v>144.1</v>
      </c>
      <c r="F84" s="1">
        <v>192.2</v>
      </c>
      <c r="G84" s="1">
        <v>163.80000000000001</v>
      </c>
      <c r="H84" s="1">
        <v>154.9</v>
      </c>
      <c r="I84" s="1">
        <v>163.9</v>
      </c>
      <c r="J84" s="1">
        <v>153.69999999999999</v>
      </c>
      <c r="K84" s="1">
        <v>149.5</v>
      </c>
      <c r="L84" s="1">
        <v>159.80000000000001</v>
      </c>
      <c r="M84" s="1">
        <v>112.6</v>
      </c>
      <c r="N84" s="1">
        <v>163.5</v>
      </c>
      <c r="O84" s="1">
        <v>156.5</v>
      </c>
      <c r="P84" s="1">
        <v>168.2</v>
      </c>
      <c r="Q84" s="1">
        <v>156.69999999999999</v>
      </c>
      <c r="R84" s="1">
        <v>188.1</v>
      </c>
      <c r="S84" s="1">
        <v>157.80000000000001</v>
      </c>
      <c r="T84" s="1">
        <v>147.9</v>
      </c>
      <c r="U84" s="1">
        <v>156.4</v>
      </c>
      <c r="V84" s="1">
        <v>159.9</v>
      </c>
      <c r="W84" s="1">
        <v>155.5</v>
      </c>
      <c r="X84" s="1">
        <v>151.19999999999999</v>
      </c>
      <c r="Y84" s="1">
        <v>161.69999999999999</v>
      </c>
      <c r="Z84" s="1">
        <v>146.19999999999999</v>
      </c>
      <c r="AA84" s="1">
        <v>152.6</v>
      </c>
      <c r="AB84" s="1">
        <v>160.19999999999999</v>
      </c>
      <c r="AC84" s="1">
        <v>153.80000000000001</v>
      </c>
      <c r="AD84" s="1">
        <v>153.80000000000001</v>
      </c>
      <c r="AE84" s="1">
        <v>156.80000000000001</v>
      </c>
    </row>
    <row r="85" spans="1:31" x14ac:dyDescent="0.25">
      <c r="A85" s="1" t="s">
        <v>34</v>
      </c>
      <c r="B85" s="1">
        <v>2022</v>
      </c>
      <c r="C85" s="1" t="s">
        <v>31</v>
      </c>
      <c r="D85" s="1" t="s">
        <v>190</v>
      </c>
      <c r="E85" s="1">
        <v>149.5</v>
      </c>
      <c r="F85" s="1">
        <v>198.7</v>
      </c>
      <c r="G85" s="1">
        <v>178.8</v>
      </c>
      <c r="H85" s="1">
        <v>160.5</v>
      </c>
      <c r="I85" s="1">
        <v>184.7</v>
      </c>
      <c r="J85" s="1">
        <v>153.69999999999999</v>
      </c>
      <c r="K85" s="1">
        <v>174.3</v>
      </c>
      <c r="L85" s="1">
        <v>163.9</v>
      </c>
      <c r="M85" s="1">
        <v>120</v>
      </c>
      <c r="N85" s="1">
        <v>172.1</v>
      </c>
      <c r="O85" s="1">
        <v>164.3</v>
      </c>
      <c r="P85" s="1">
        <v>177.3</v>
      </c>
      <c r="Q85" s="1">
        <v>166.4</v>
      </c>
      <c r="R85" s="1">
        <v>192.2</v>
      </c>
      <c r="S85" s="1">
        <v>169.9</v>
      </c>
      <c r="T85" s="1">
        <v>160.69999999999999</v>
      </c>
      <c r="U85" s="1">
        <v>168.5</v>
      </c>
      <c r="V85" s="1">
        <v>164.5</v>
      </c>
      <c r="W85" s="1">
        <v>164.2</v>
      </c>
      <c r="X85" s="1">
        <v>161.1</v>
      </c>
      <c r="Y85" s="1">
        <v>171.4</v>
      </c>
      <c r="Z85" s="1">
        <v>156.5</v>
      </c>
      <c r="AA85" s="1">
        <v>161.19999999999999</v>
      </c>
      <c r="AB85" s="1">
        <v>164.7</v>
      </c>
      <c r="AC85" s="1">
        <v>163</v>
      </c>
      <c r="AD85" s="1">
        <v>162.69999999999999</v>
      </c>
      <c r="AE85" s="1">
        <v>165.7</v>
      </c>
    </row>
    <row r="86" spans="1:31" x14ac:dyDescent="0.25">
      <c r="A86" s="1" t="s">
        <v>34</v>
      </c>
      <c r="B86" s="1">
        <v>2022</v>
      </c>
      <c r="C86" s="1" t="s">
        <v>35</v>
      </c>
      <c r="D86" s="1" t="s">
        <v>191</v>
      </c>
      <c r="E86" s="1">
        <v>150</v>
      </c>
      <c r="F86" s="1">
        <v>200.6</v>
      </c>
      <c r="G86" s="1">
        <v>175.8</v>
      </c>
      <c r="H86" s="1">
        <v>160.69999999999999</v>
      </c>
      <c r="I86" s="1">
        <v>184.9</v>
      </c>
      <c r="J86" s="1">
        <v>153.69999999999999</v>
      </c>
      <c r="K86" s="1">
        <v>169.7</v>
      </c>
      <c r="L86" s="1">
        <v>163.69999999999999</v>
      </c>
      <c r="M86" s="1">
        <v>118.9</v>
      </c>
      <c r="N86" s="1">
        <v>174.3</v>
      </c>
      <c r="O86" s="1">
        <v>164.7</v>
      </c>
      <c r="P86" s="1">
        <v>178</v>
      </c>
      <c r="Q86" s="1">
        <v>166.2</v>
      </c>
      <c r="R86" s="1">
        <v>192.8</v>
      </c>
      <c r="S86" s="1">
        <v>170.8</v>
      </c>
      <c r="T86" s="1">
        <v>162.4</v>
      </c>
      <c r="U86" s="1">
        <v>169.6</v>
      </c>
      <c r="V86" s="1">
        <v>165.5</v>
      </c>
      <c r="W86" s="1">
        <v>165.7</v>
      </c>
      <c r="X86" s="1">
        <v>161.80000000000001</v>
      </c>
      <c r="Y86" s="1">
        <v>172.2</v>
      </c>
      <c r="Z86" s="1">
        <v>156.9</v>
      </c>
      <c r="AA86" s="1">
        <v>162.1</v>
      </c>
      <c r="AB86" s="1">
        <v>165.4</v>
      </c>
      <c r="AC86" s="1">
        <v>164.4</v>
      </c>
      <c r="AD86" s="1">
        <v>163.5</v>
      </c>
      <c r="AE86" s="1">
        <v>166.1</v>
      </c>
    </row>
    <row r="87" spans="1:31" x14ac:dyDescent="0.25">
      <c r="A87" s="1" t="s">
        <v>34</v>
      </c>
      <c r="B87" s="1">
        <v>2018</v>
      </c>
      <c r="C87" s="1" t="s">
        <v>37</v>
      </c>
      <c r="D87" s="1" t="s">
        <v>146</v>
      </c>
      <c r="E87" s="1">
        <v>136.4</v>
      </c>
      <c r="F87" s="1">
        <v>144.4</v>
      </c>
      <c r="G87" s="1">
        <v>133.9</v>
      </c>
      <c r="H87" s="1">
        <v>141.6</v>
      </c>
      <c r="I87" s="1">
        <v>121</v>
      </c>
      <c r="J87" s="1">
        <v>153.5</v>
      </c>
      <c r="K87" s="1">
        <v>132.6</v>
      </c>
      <c r="L87" s="1">
        <v>123.5</v>
      </c>
      <c r="M87" s="1">
        <v>113.7</v>
      </c>
      <c r="N87" s="1">
        <v>138.19999999999999</v>
      </c>
      <c r="O87" s="1">
        <v>129.6</v>
      </c>
      <c r="P87" s="1">
        <v>151.19999999999999</v>
      </c>
      <c r="Q87" s="1">
        <v>137.5</v>
      </c>
      <c r="R87" s="1">
        <v>156.9</v>
      </c>
      <c r="S87" s="1">
        <v>145.30000000000001</v>
      </c>
      <c r="T87" s="1">
        <v>136.69999999999999</v>
      </c>
      <c r="U87" s="1">
        <v>144</v>
      </c>
      <c r="V87" s="1">
        <v>142.9</v>
      </c>
      <c r="W87" s="1">
        <v>136.5</v>
      </c>
      <c r="X87" s="1">
        <v>136.6</v>
      </c>
      <c r="Y87" s="1">
        <v>135.19999999999999</v>
      </c>
      <c r="Z87" s="1">
        <v>121.9</v>
      </c>
      <c r="AA87" s="1">
        <v>131.30000000000001</v>
      </c>
      <c r="AB87" s="1">
        <v>141.4</v>
      </c>
      <c r="AC87" s="1">
        <v>129.19999999999999</v>
      </c>
      <c r="AD87" s="1">
        <v>131.30000000000001</v>
      </c>
      <c r="AE87" s="1">
        <v>137.1</v>
      </c>
    </row>
    <row r="88" spans="1:31" x14ac:dyDescent="0.25">
      <c r="A88" s="1" t="s">
        <v>30</v>
      </c>
      <c r="B88" s="1">
        <v>2018</v>
      </c>
      <c r="C88" s="1" t="s">
        <v>40</v>
      </c>
      <c r="D88" s="1" t="s">
        <v>149</v>
      </c>
      <c r="E88" s="1">
        <v>138.4</v>
      </c>
      <c r="F88" s="1">
        <v>149.30000000000001</v>
      </c>
      <c r="G88" s="1">
        <v>139.30000000000001</v>
      </c>
      <c r="H88" s="1">
        <v>143.4</v>
      </c>
      <c r="I88" s="1">
        <v>124.1</v>
      </c>
      <c r="J88" s="1">
        <v>153.30000000000001</v>
      </c>
      <c r="K88" s="1">
        <v>154.19999999999999</v>
      </c>
      <c r="L88" s="1">
        <v>126.4</v>
      </c>
      <c r="M88" s="1">
        <v>114.3</v>
      </c>
      <c r="N88" s="1">
        <v>138.19999999999999</v>
      </c>
      <c r="O88" s="1">
        <v>132.80000000000001</v>
      </c>
      <c r="P88" s="1">
        <v>154.80000000000001</v>
      </c>
      <c r="Q88" s="1">
        <v>142</v>
      </c>
      <c r="R88" s="1">
        <v>156.1</v>
      </c>
      <c r="S88" s="1">
        <v>151.5</v>
      </c>
      <c r="T88" s="1">
        <v>145.1</v>
      </c>
      <c r="U88" s="1">
        <v>150.6</v>
      </c>
      <c r="V88" s="14">
        <f>VLOOKUP($D88,Notes!$B$2:$C$229,2,0)</f>
        <v>143.6</v>
      </c>
      <c r="W88" s="1">
        <v>146.80000000000001</v>
      </c>
      <c r="X88" s="1">
        <v>143.1</v>
      </c>
      <c r="Y88" s="1">
        <v>139</v>
      </c>
      <c r="Z88" s="1">
        <v>127.5</v>
      </c>
      <c r="AA88" s="1">
        <v>138.4</v>
      </c>
      <c r="AB88" s="1">
        <v>145.80000000000001</v>
      </c>
      <c r="AC88" s="1">
        <v>131.4</v>
      </c>
      <c r="AD88" s="1">
        <v>136</v>
      </c>
      <c r="AE88" s="1">
        <v>141.80000000000001</v>
      </c>
    </row>
    <row r="89" spans="1:31" x14ac:dyDescent="0.25">
      <c r="A89" s="1" t="s">
        <v>34</v>
      </c>
      <c r="B89" s="1">
        <v>2018</v>
      </c>
      <c r="C89" s="1" t="s">
        <v>39</v>
      </c>
      <c r="D89" s="1" t="s">
        <v>148</v>
      </c>
      <c r="E89" s="1">
        <v>136.9</v>
      </c>
      <c r="F89" s="1">
        <v>148.69999999999999</v>
      </c>
      <c r="G89" s="1">
        <v>135.6</v>
      </c>
      <c r="H89" s="1">
        <v>142.30000000000001</v>
      </c>
      <c r="I89" s="1">
        <v>121.3</v>
      </c>
      <c r="J89" s="1">
        <v>153.19999999999999</v>
      </c>
      <c r="K89" s="1">
        <v>143.69999999999999</v>
      </c>
      <c r="L89" s="1">
        <v>121.4</v>
      </c>
      <c r="M89" s="1">
        <v>111.1</v>
      </c>
      <c r="N89" s="1">
        <v>138.4</v>
      </c>
      <c r="O89" s="1">
        <v>130.30000000000001</v>
      </c>
      <c r="P89" s="1">
        <v>151.80000000000001</v>
      </c>
      <c r="Q89" s="1">
        <v>139.4</v>
      </c>
      <c r="R89" s="1">
        <v>158.30000000000001</v>
      </c>
      <c r="S89" s="1">
        <v>146.4</v>
      </c>
      <c r="T89" s="1">
        <v>138.1</v>
      </c>
      <c r="U89" s="1">
        <v>145.19999999999999</v>
      </c>
      <c r="V89" s="1">
        <v>142.5</v>
      </c>
      <c r="W89" s="1">
        <v>138.1</v>
      </c>
      <c r="X89" s="1">
        <v>137.9</v>
      </c>
      <c r="Y89" s="1">
        <v>136.19999999999999</v>
      </c>
      <c r="Z89" s="1">
        <v>123.7</v>
      </c>
      <c r="AA89" s="1">
        <v>132.6</v>
      </c>
      <c r="AB89" s="1">
        <v>142.80000000000001</v>
      </c>
      <c r="AC89" s="1">
        <v>130.1</v>
      </c>
      <c r="AD89" s="1">
        <v>132.6</v>
      </c>
      <c r="AE89" s="1">
        <v>138.5</v>
      </c>
    </row>
    <row r="90" spans="1:31" x14ac:dyDescent="0.25">
      <c r="A90" s="1" t="s">
        <v>30</v>
      </c>
      <c r="B90" s="1">
        <v>2021</v>
      </c>
      <c r="C90" s="1" t="s">
        <v>44</v>
      </c>
      <c r="D90" s="1" t="s">
        <v>188</v>
      </c>
      <c r="E90" s="1">
        <v>146.9</v>
      </c>
      <c r="F90" s="1">
        <v>199.8</v>
      </c>
      <c r="G90" s="1">
        <v>171.5</v>
      </c>
      <c r="H90" s="1">
        <v>159.1</v>
      </c>
      <c r="I90" s="1">
        <v>198.4</v>
      </c>
      <c r="J90" s="1">
        <v>153.19999999999999</v>
      </c>
      <c r="K90" s="1">
        <v>183.9</v>
      </c>
      <c r="L90" s="1">
        <v>165.4</v>
      </c>
      <c r="M90" s="1">
        <v>122.1</v>
      </c>
      <c r="N90" s="1">
        <v>170.8</v>
      </c>
      <c r="O90" s="1">
        <v>169.1</v>
      </c>
      <c r="P90" s="1">
        <v>174.3</v>
      </c>
      <c r="Q90" s="1">
        <v>167.5</v>
      </c>
      <c r="R90" s="1">
        <v>191.4</v>
      </c>
      <c r="S90" s="1">
        <v>170.4</v>
      </c>
      <c r="T90" s="1">
        <v>166</v>
      </c>
      <c r="U90" s="1">
        <v>169.8</v>
      </c>
      <c r="V90" s="14">
        <f>VLOOKUP($D90,Notes!$B$2:$C$229,2,0)</f>
        <v>164.2</v>
      </c>
      <c r="W90" s="1">
        <v>165.3</v>
      </c>
      <c r="X90" s="1">
        <v>162.9</v>
      </c>
      <c r="Y90" s="1">
        <v>173.4</v>
      </c>
      <c r="Z90" s="1">
        <v>158.9</v>
      </c>
      <c r="AA90" s="1">
        <v>163.80000000000001</v>
      </c>
      <c r="AB90" s="1">
        <v>169.3</v>
      </c>
      <c r="AC90" s="1">
        <v>162.4</v>
      </c>
      <c r="AD90" s="1">
        <v>165.2</v>
      </c>
      <c r="AE90" s="1">
        <v>167.6</v>
      </c>
    </row>
    <row r="91" spans="1:31" x14ac:dyDescent="0.25">
      <c r="A91" s="1" t="s">
        <v>30</v>
      </c>
      <c r="B91" s="1">
        <v>2018</v>
      </c>
      <c r="C91" s="1" t="s">
        <v>36</v>
      </c>
      <c r="D91" s="1" t="s">
        <v>145</v>
      </c>
      <c r="E91" s="1">
        <v>136.80000000000001</v>
      </c>
      <c r="F91" s="1">
        <v>143.80000000000001</v>
      </c>
      <c r="G91" s="1">
        <v>140</v>
      </c>
      <c r="H91" s="1">
        <v>142</v>
      </c>
      <c r="I91" s="1">
        <v>123.2</v>
      </c>
      <c r="J91" s="1">
        <v>152.9</v>
      </c>
      <c r="K91" s="1">
        <v>138</v>
      </c>
      <c r="L91" s="1">
        <v>129.30000000000001</v>
      </c>
      <c r="M91" s="1">
        <v>117.1</v>
      </c>
      <c r="N91" s="1">
        <v>136.30000000000001</v>
      </c>
      <c r="O91" s="1">
        <v>131.19999999999999</v>
      </c>
      <c r="P91" s="1">
        <v>152.80000000000001</v>
      </c>
      <c r="Q91" s="1">
        <v>138.6</v>
      </c>
      <c r="R91" s="1">
        <v>155.1</v>
      </c>
      <c r="S91" s="1">
        <v>149.19999999999999</v>
      </c>
      <c r="T91" s="1">
        <v>143</v>
      </c>
      <c r="U91" s="1">
        <v>148.30000000000001</v>
      </c>
      <c r="V91" s="14">
        <f>VLOOKUP($D91,Notes!$B$2:$C$229,2,0)</f>
        <v>142</v>
      </c>
      <c r="W91" s="1">
        <v>142.6</v>
      </c>
      <c r="X91" s="1">
        <v>139.9</v>
      </c>
      <c r="Y91" s="1">
        <v>136.69999999999999</v>
      </c>
      <c r="Z91" s="1">
        <v>124.6</v>
      </c>
      <c r="AA91" s="1">
        <v>135.1</v>
      </c>
      <c r="AB91" s="1">
        <v>142.69999999999999</v>
      </c>
      <c r="AC91" s="1">
        <v>129.30000000000001</v>
      </c>
      <c r="AD91" s="1">
        <v>133.30000000000001</v>
      </c>
      <c r="AE91" s="1">
        <v>138.69999999999999</v>
      </c>
    </row>
    <row r="92" spans="1:31" x14ac:dyDescent="0.25">
      <c r="A92" s="1" t="s">
        <v>33</v>
      </c>
      <c r="B92" s="1">
        <v>2020</v>
      </c>
      <c r="C92" s="1" t="s">
        <v>37</v>
      </c>
      <c r="D92" s="1" t="s">
        <v>169</v>
      </c>
      <c r="E92" s="1">
        <v>151.80000000000001</v>
      </c>
      <c r="F92" s="14">
        <v>182.25</v>
      </c>
      <c r="G92" s="1">
        <v>151.9</v>
      </c>
      <c r="H92" s="1">
        <v>155.5</v>
      </c>
      <c r="I92" s="1">
        <v>131.6</v>
      </c>
      <c r="J92" s="1">
        <v>152.9</v>
      </c>
      <c r="K92" s="1">
        <v>180</v>
      </c>
      <c r="L92" s="1">
        <v>150.80000000000001</v>
      </c>
      <c r="M92" s="1">
        <v>121.2</v>
      </c>
      <c r="N92" s="1">
        <v>154</v>
      </c>
      <c r="O92" s="1">
        <v>133.5</v>
      </c>
      <c r="P92" s="14">
        <v>160.39999999999998</v>
      </c>
      <c r="Q92" s="1">
        <v>153.5</v>
      </c>
      <c r="R92" s="14">
        <v>180</v>
      </c>
      <c r="S92" s="14">
        <v>148.39999999999998</v>
      </c>
      <c r="T92" s="14">
        <v>135.19999999999999</v>
      </c>
      <c r="U92" s="14">
        <v>146.39999999999998</v>
      </c>
      <c r="V92" s="1">
        <v>155.6</v>
      </c>
      <c r="W92" s="1">
        <v>137.1</v>
      </c>
      <c r="X92" s="1">
        <v>151.6</v>
      </c>
      <c r="Y92" s="1">
        <v>144.80000000000001</v>
      </c>
      <c r="Z92" s="14">
        <v>126.95</v>
      </c>
      <c r="AA92" s="14">
        <v>141.19999999999999</v>
      </c>
      <c r="AB92" s="14">
        <v>152.5</v>
      </c>
      <c r="AC92" s="14">
        <v>148.75</v>
      </c>
      <c r="AD92" s="14">
        <v>140.35</v>
      </c>
      <c r="AE92" s="14">
        <v>149.05000000000001</v>
      </c>
    </row>
    <row r="93" spans="1:31" x14ac:dyDescent="0.25">
      <c r="A93" s="1" t="s">
        <v>30</v>
      </c>
      <c r="B93" s="1">
        <v>2021</v>
      </c>
      <c r="C93" s="1" t="s">
        <v>42</v>
      </c>
      <c r="D93" s="1" t="s">
        <v>186</v>
      </c>
      <c r="E93" s="1">
        <v>145.4</v>
      </c>
      <c r="F93" s="1">
        <v>202.1</v>
      </c>
      <c r="G93" s="1">
        <v>172</v>
      </c>
      <c r="H93" s="1">
        <v>158</v>
      </c>
      <c r="I93" s="1">
        <v>195.5</v>
      </c>
      <c r="J93" s="1">
        <v>152.69999999999999</v>
      </c>
      <c r="K93" s="1">
        <v>151.4</v>
      </c>
      <c r="L93" s="1">
        <v>163.9</v>
      </c>
      <c r="M93" s="1">
        <v>119.3</v>
      </c>
      <c r="N93" s="1">
        <v>170.1</v>
      </c>
      <c r="O93" s="1">
        <v>168.3</v>
      </c>
      <c r="P93" s="1">
        <v>172.8</v>
      </c>
      <c r="Q93" s="1">
        <v>162.1</v>
      </c>
      <c r="R93" s="1">
        <v>190.5</v>
      </c>
      <c r="S93" s="1">
        <v>167.7</v>
      </c>
      <c r="T93" s="1">
        <v>163.6</v>
      </c>
      <c r="U93" s="1">
        <v>167.1</v>
      </c>
      <c r="V93" s="14">
        <f>VLOOKUP($D93,Notes!$B$2:$C$229,2,0)</f>
        <v>162.1</v>
      </c>
      <c r="W93" s="1">
        <v>163.69999999999999</v>
      </c>
      <c r="X93" s="1">
        <v>161.30000000000001</v>
      </c>
      <c r="Y93" s="1">
        <v>171.9</v>
      </c>
      <c r="Z93" s="1">
        <v>157.80000000000001</v>
      </c>
      <c r="AA93" s="1">
        <v>162.69999999999999</v>
      </c>
      <c r="AB93" s="1">
        <v>168.5</v>
      </c>
      <c r="AC93" s="1">
        <v>160.19999999999999</v>
      </c>
      <c r="AD93" s="1">
        <v>163.80000000000001</v>
      </c>
      <c r="AE93" s="1">
        <v>164</v>
      </c>
    </row>
    <row r="94" spans="1:31" x14ac:dyDescent="0.25">
      <c r="A94" s="1" t="s">
        <v>33</v>
      </c>
      <c r="B94" s="1">
        <v>2021</v>
      </c>
      <c r="C94" s="1" t="s">
        <v>31</v>
      </c>
      <c r="D94" s="1" t="s">
        <v>178</v>
      </c>
      <c r="E94" s="1">
        <v>148</v>
      </c>
      <c r="F94" s="1">
        <v>194.8</v>
      </c>
      <c r="G94" s="1">
        <v>178.4</v>
      </c>
      <c r="H94" s="1">
        <v>154.4</v>
      </c>
      <c r="I94" s="1">
        <v>144.1</v>
      </c>
      <c r="J94" s="1">
        <v>152.6</v>
      </c>
      <c r="K94" s="1">
        <v>206.8</v>
      </c>
      <c r="L94" s="1">
        <v>162.1</v>
      </c>
      <c r="M94" s="1">
        <v>116.3</v>
      </c>
      <c r="N94" s="1">
        <v>163</v>
      </c>
      <c r="O94" s="1">
        <v>145.9</v>
      </c>
      <c r="P94" s="1">
        <v>167.2</v>
      </c>
      <c r="Q94" s="1">
        <v>163.4</v>
      </c>
      <c r="R94" s="1">
        <v>191.8</v>
      </c>
      <c r="S94" s="1">
        <v>152.5</v>
      </c>
      <c r="T94" s="1">
        <v>137.30000000000001</v>
      </c>
      <c r="U94" s="1">
        <v>150.19999999999999</v>
      </c>
      <c r="V94" s="1">
        <v>157.69999999999999</v>
      </c>
      <c r="W94" s="1">
        <v>142.9</v>
      </c>
      <c r="X94" s="1">
        <v>145.69999999999999</v>
      </c>
      <c r="Y94" s="1">
        <v>154.1</v>
      </c>
      <c r="Z94" s="1">
        <v>136.9</v>
      </c>
      <c r="AA94" s="1">
        <v>145.4</v>
      </c>
      <c r="AB94" s="1">
        <v>156.1</v>
      </c>
      <c r="AC94" s="1">
        <v>157.69999999999999</v>
      </c>
      <c r="AD94" s="1">
        <v>147.6</v>
      </c>
      <c r="AE94" s="1">
        <v>156</v>
      </c>
    </row>
    <row r="95" spans="1:31" x14ac:dyDescent="0.25">
      <c r="A95" s="1" t="s">
        <v>30</v>
      </c>
      <c r="B95" s="1">
        <v>2021</v>
      </c>
      <c r="C95" s="1" t="s">
        <v>43</v>
      </c>
      <c r="D95" s="1" t="s">
        <v>187</v>
      </c>
      <c r="E95" s="1">
        <v>146.1</v>
      </c>
      <c r="F95" s="1">
        <v>202.5</v>
      </c>
      <c r="G95" s="1">
        <v>170.1</v>
      </c>
      <c r="H95" s="1">
        <v>158.4</v>
      </c>
      <c r="I95" s="1">
        <v>198.8</v>
      </c>
      <c r="J95" s="1">
        <v>152.6</v>
      </c>
      <c r="K95" s="1">
        <v>170.4</v>
      </c>
      <c r="L95" s="1">
        <v>165.2</v>
      </c>
      <c r="M95" s="1">
        <v>121.6</v>
      </c>
      <c r="N95" s="1">
        <v>170.6</v>
      </c>
      <c r="O95" s="1">
        <v>168.8</v>
      </c>
      <c r="P95" s="1">
        <v>173.6</v>
      </c>
      <c r="Q95" s="1">
        <v>165.5</v>
      </c>
      <c r="R95" s="1">
        <v>191.2</v>
      </c>
      <c r="S95" s="1">
        <v>168.9</v>
      </c>
      <c r="T95" s="1">
        <v>164.8</v>
      </c>
      <c r="U95" s="1">
        <v>168.3</v>
      </c>
      <c r="V95" s="14">
        <f>VLOOKUP($D95,Notes!$B$2:$C$229,2,0)</f>
        <v>163.6</v>
      </c>
      <c r="W95" s="1">
        <v>165.5</v>
      </c>
      <c r="X95" s="1">
        <v>162</v>
      </c>
      <c r="Y95" s="1">
        <v>172.5</v>
      </c>
      <c r="Z95" s="1">
        <v>159.5</v>
      </c>
      <c r="AA95" s="1">
        <v>163.19999999999999</v>
      </c>
      <c r="AB95" s="1">
        <v>169</v>
      </c>
      <c r="AC95" s="1">
        <v>161.1</v>
      </c>
      <c r="AD95" s="1">
        <v>164.7</v>
      </c>
      <c r="AE95" s="1">
        <v>166.3</v>
      </c>
    </row>
    <row r="96" spans="1:31" hidden="1" x14ac:dyDescent="0.25">
      <c r="A96" s="1" t="s">
        <v>33</v>
      </c>
      <c r="B96" s="1">
        <v>2020</v>
      </c>
      <c r="C96" s="1" t="s">
        <v>38</v>
      </c>
      <c r="D96" s="1" t="s">
        <v>170</v>
      </c>
      <c r="E96" s="14">
        <v>152.25</v>
      </c>
      <c r="F96" s="14">
        <v>182.25</v>
      </c>
      <c r="G96" s="1">
        <v>451.5</v>
      </c>
      <c r="H96" s="14">
        <v>154.44999999999999</v>
      </c>
      <c r="I96" s="14">
        <v>132.25</v>
      </c>
      <c r="J96" s="14">
        <v>152.35000000000002</v>
      </c>
      <c r="K96" s="14">
        <v>175.6</v>
      </c>
      <c r="L96" s="14">
        <v>151.4</v>
      </c>
      <c r="M96" s="14">
        <v>118.75</v>
      </c>
      <c r="N96" s="14">
        <v>156.4</v>
      </c>
      <c r="O96" s="14">
        <v>134.55000000000001</v>
      </c>
      <c r="P96" s="14">
        <v>160.39999999999998</v>
      </c>
      <c r="Q96" s="14">
        <v>155.25</v>
      </c>
      <c r="R96" s="14">
        <v>180</v>
      </c>
      <c r="S96" s="14">
        <v>148.39999999999998</v>
      </c>
      <c r="T96" s="14">
        <v>135.19999999999999</v>
      </c>
      <c r="U96" s="14">
        <v>146.39999999999998</v>
      </c>
      <c r="V96" s="14">
        <v>155.14999999999998</v>
      </c>
      <c r="W96" s="14">
        <v>137.1</v>
      </c>
      <c r="X96" s="14">
        <v>146</v>
      </c>
      <c r="Y96" s="14">
        <v>146.44999999999999</v>
      </c>
      <c r="Z96" s="14">
        <v>126.95</v>
      </c>
      <c r="AA96" s="14">
        <v>141.19999999999999</v>
      </c>
      <c r="AB96" s="14">
        <v>152.5</v>
      </c>
      <c r="AC96" s="14">
        <v>148.75</v>
      </c>
      <c r="AD96" s="14">
        <v>140.35</v>
      </c>
      <c r="AE96" s="14">
        <v>149.05000000000001</v>
      </c>
    </row>
    <row r="97" spans="1:31" x14ac:dyDescent="0.25">
      <c r="A97" s="1" t="s">
        <v>33</v>
      </c>
      <c r="B97" s="1">
        <v>2018</v>
      </c>
      <c r="C97" s="1" t="s">
        <v>39</v>
      </c>
      <c r="D97" s="1" t="s">
        <v>148</v>
      </c>
      <c r="E97" s="1">
        <v>135.30000000000001</v>
      </c>
      <c r="F97" s="1">
        <v>149.69999999999999</v>
      </c>
      <c r="G97" s="1">
        <v>133.9</v>
      </c>
      <c r="H97" s="1">
        <v>140.80000000000001</v>
      </c>
      <c r="I97" s="1">
        <v>116.6</v>
      </c>
      <c r="J97" s="1">
        <v>152.19999999999999</v>
      </c>
      <c r="K97" s="1">
        <v>144</v>
      </c>
      <c r="L97" s="1">
        <v>112.3</v>
      </c>
      <c r="M97" s="1">
        <v>108.4</v>
      </c>
      <c r="N97" s="1">
        <v>140</v>
      </c>
      <c r="O97" s="1">
        <v>126.7</v>
      </c>
      <c r="P97" s="1">
        <v>149</v>
      </c>
      <c r="Q97" s="1">
        <v>138.4</v>
      </c>
      <c r="R97" s="1">
        <v>161</v>
      </c>
      <c r="S97" s="1">
        <v>138.9</v>
      </c>
      <c r="T97" s="1">
        <v>128.69999999999999</v>
      </c>
      <c r="U97" s="1">
        <v>137.4</v>
      </c>
      <c r="V97" s="1">
        <v>142.5</v>
      </c>
      <c r="W97" s="1">
        <v>126.5</v>
      </c>
      <c r="X97" s="1">
        <v>133.1</v>
      </c>
      <c r="Y97" s="1">
        <v>132.6</v>
      </c>
      <c r="Z97" s="1">
        <v>120.4</v>
      </c>
      <c r="AA97" s="1">
        <v>128.5</v>
      </c>
      <c r="AB97" s="1">
        <v>141.19999999999999</v>
      </c>
      <c r="AC97" s="1">
        <v>128.19999999999999</v>
      </c>
      <c r="AD97" s="1">
        <v>129.5</v>
      </c>
      <c r="AE97" s="1">
        <v>136.19999999999999</v>
      </c>
    </row>
    <row r="98" spans="1:31" x14ac:dyDescent="0.25">
      <c r="A98" s="1" t="s">
        <v>30</v>
      </c>
      <c r="B98" s="1">
        <v>2021</v>
      </c>
      <c r="C98" s="1" t="s">
        <v>45</v>
      </c>
      <c r="D98" s="1" t="s">
        <v>189</v>
      </c>
      <c r="E98" s="1">
        <v>147.4</v>
      </c>
      <c r="F98" s="1">
        <v>197</v>
      </c>
      <c r="G98" s="1">
        <v>176.5</v>
      </c>
      <c r="H98" s="1">
        <v>159.80000000000001</v>
      </c>
      <c r="I98" s="1">
        <v>195.8</v>
      </c>
      <c r="J98" s="1">
        <v>152</v>
      </c>
      <c r="K98" s="1">
        <v>172.3</v>
      </c>
      <c r="L98" s="1">
        <v>164.5</v>
      </c>
      <c r="M98" s="1">
        <v>120.6</v>
      </c>
      <c r="N98" s="1">
        <v>171.7</v>
      </c>
      <c r="O98" s="1">
        <v>169.7</v>
      </c>
      <c r="P98" s="1">
        <v>175.1</v>
      </c>
      <c r="Q98" s="1">
        <v>165.8</v>
      </c>
      <c r="R98" s="1">
        <v>190.8</v>
      </c>
      <c r="S98" s="1">
        <v>171.8</v>
      </c>
      <c r="T98" s="1">
        <v>167.3</v>
      </c>
      <c r="U98" s="1">
        <v>171.2</v>
      </c>
      <c r="V98" s="14">
        <f>VLOOKUP($D98,Notes!$B$2:$C$229,2,0)</f>
        <v>163.4</v>
      </c>
      <c r="W98" s="1">
        <v>165.6</v>
      </c>
      <c r="X98" s="1">
        <v>163.9</v>
      </c>
      <c r="Y98" s="1">
        <v>174</v>
      </c>
      <c r="Z98" s="1">
        <v>160.1</v>
      </c>
      <c r="AA98" s="1">
        <v>164.5</v>
      </c>
      <c r="AB98" s="1">
        <v>169.7</v>
      </c>
      <c r="AC98" s="1">
        <v>162.80000000000001</v>
      </c>
      <c r="AD98" s="1">
        <v>166</v>
      </c>
      <c r="AE98" s="1">
        <v>167</v>
      </c>
    </row>
    <row r="99" spans="1:31" x14ac:dyDescent="0.25">
      <c r="A99" s="1" t="s">
        <v>33</v>
      </c>
      <c r="B99" s="1">
        <v>2020</v>
      </c>
      <c r="C99" s="1" t="s">
        <v>39</v>
      </c>
      <c r="D99" s="1" t="s">
        <v>171</v>
      </c>
      <c r="E99" s="1">
        <v>152.69999999999999</v>
      </c>
      <c r="F99" s="1">
        <v>197</v>
      </c>
      <c r="G99" s="1">
        <v>154.6</v>
      </c>
      <c r="H99" s="1">
        <v>153.4</v>
      </c>
      <c r="I99" s="1">
        <v>132.9</v>
      </c>
      <c r="J99" s="1">
        <v>151.80000000000001</v>
      </c>
      <c r="K99" s="1">
        <v>171.2</v>
      </c>
      <c r="L99" s="1">
        <v>152</v>
      </c>
      <c r="M99" s="1">
        <v>116.3</v>
      </c>
      <c r="N99" s="1">
        <v>158.80000000000001</v>
      </c>
      <c r="O99" s="1">
        <v>135.6</v>
      </c>
      <c r="P99" s="1">
        <v>161.69999999999999</v>
      </c>
      <c r="Q99" s="1">
        <v>157</v>
      </c>
      <c r="R99" s="1">
        <v>186.7</v>
      </c>
      <c r="S99" s="1">
        <v>149.1</v>
      </c>
      <c r="T99" s="1">
        <v>136.6</v>
      </c>
      <c r="U99" s="1">
        <v>147.19999999999999</v>
      </c>
      <c r="V99" s="1">
        <v>154.69999999999999</v>
      </c>
      <c r="W99" s="1">
        <v>137.1</v>
      </c>
      <c r="X99" s="1">
        <v>140.4</v>
      </c>
      <c r="Y99" s="1">
        <v>148.1</v>
      </c>
      <c r="Z99" s="1">
        <v>129.30000000000001</v>
      </c>
      <c r="AA99" s="1">
        <v>144.5</v>
      </c>
      <c r="AB99" s="1">
        <v>152.5</v>
      </c>
      <c r="AC99" s="1">
        <v>152.19999999999999</v>
      </c>
      <c r="AD99" s="1">
        <v>142</v>
      </c>
      <c r="AE99" s="1">
        <v>150.80000000000001</v>
      </c>
    </row>
    <row r="100" spans="1:31" x14ac:dyDescent="0.25">
      <c r="A100" s="1" t="s">
        <v>33</v>
      </c>
      <c r="B100" s="1">
        <v>2020</v>
      </c>
      <c r="C100" s="1" t="s">
        <v>40</v>
      </c>
      <c r="D100" s="1" t="s">
        <v>172</v>
      </c>
      <c r="E100" s="1">
        <v>152.69999999999999</v>
      </c>
      <c r="F100" s="1">
        <v>197</v>
      </c>
      <c r="G100" s="1">
        <v>154.6</v>
      </c>
      <c r="H100" s="1">
        <v>153.4</v>
      </c>
      <c r="I100" s="1">
        <v>132.9</v>
      </c>
      <c r="J100" s="1">
        <v>151.80000000000001</v>
      </c>
      <c r="K100" s="1">
        <v>171.2</v>
      </c>
      <c r="L100" s="1">
        <v>152</v>
      </c>
      <c r="M100" s="1">
        <v>116.3</v>
      </c>
      <c r="N100" s="1">
        <v>158.80000000000001</v>
      </c>
      <c r="O100" s="1">
        <v>135.6</v>
      </c>
      <c r="P100" s="1">
        <v>161.69999999999999</v>
      </c>
      <c r="Q100" s="1">
        <v>157</v>
      </c>
      <c r="R100" s="1">
        <v>186.7</v>
      </c>
      <c r="S100" s="1">
        <v>149.1</v>
      </c>
      <c r="T100" s="1">
        <v>136.6</v>
      </c>
      <c r="U100" s="1">
        <v>147.19999999999999</v>
      </c>
      <c r="V100" s="1">
        <v>154.69999999999999</v>
      </c>
      <c r="W100" s="1">
        <v>137.1</v>
      </c>
      <c r="X100" s="1">
        <v>140.4</v>
      </c>
      <c r="Y100" s="1">
        <v>148.1</v>
      </c>
      <c r="Z100" s="1">
        <v>129.30000000000001</v>
      </c>
      <c r="AA100" s="1">
        <v>144.5</v>
      </c>
      <c r="AB100" s="1">
        <v>152.5</v>
      </c>
      <c r="AC100" s="1">
        <v>152.19999999999999</v>
      </c>
      <c r="AD100" s="1">
        <v>142</v>
      </c>
      <c r="AE100" s="1">
        <v>150.80000000000001</v>
      </c>
    </row>
    <row r="101" spans="1:31" x14ac:dyDescent="0.25">
      <c r="A101" s="1" t="s">
        <v>34</v>
      </c>
      <c r="B101" s="1">
        <v>2018</v>
      </c>
      <c r="C101" s="1" t="s">
        <v>40</v>
      </c>
      <c r="D101" s="1" t="s">
        <v>149</v>
      </c>
      <c r="E101" s="1">
        <v>137.5</v>
      </c>
      <c r="F101" s="1">
        <v>149.1</v>
      </c>
      <c r="G101" s="1">
        <v>139.19999999999999</v>
      </c>
      <c r="H101" s="1">
        <v>142.5</v>
      </c>
      <c r="I101" s="1">
        <v>121.4</v>
      </c>
      <c r="J101" s="1">
        <v>151.6</v>
      </c>
      <c r="K101" s="1">
        <v>155.9</v>
      </c>
      <c r="L101" s="1">
        <v>121.7</v>
      </c>
      <c r="M101" s="1">
        <v>113.5</v>
      </c>
      <c r="N101" s="1">
        <v>138.9</v>
      </c>
      <c r="O101" s="1">
        <v>130.30000000000001</v>
      </c>
      <c r="P101" s="1">
        <v>152.30000000000001</v>
      </c>
      <c r="Q101" s="1">
        <v>141.4</v>
      </c>
      <c r="R101" s="1">
        <v>157.5</v>
      </c>
      <c r="S101" s="1">
        <v>146.80000000000001</v>
      </c>
      <c r="T101" s="1">
        <v>138.4</v>
      </c>
      <c r="U101" s="1">
        <v>145.6</v>
      </c>
      <c r="V101" s="1">
        <v>143.6</v>
      </c>
      <c r="W101" s="1">
        <v>139.69999999999999</v>
      </c>
      <c r="X101" s="1">
        <v>138.6</v>
      </c>
      <c r="Y101" s="1">
        <v>137</v>
      </c>
      <c r="Z101" s="1">
        <v>123.6</v>
      </c>
      <c r="AA101" s="1">
        <v>133.1</v>
      </c>
      <c r="AB101" s="1">
        <v>144.69999999999999</v>
      </c>
      <c r="AC101" s="1">
        <v>130.1</v>
      </c>
      <c r="AD101" s="1">
        <v>133.19999999999999</v>
      </c>
      <c r="AE101" s="1">
        <v>139.80000000000001</v>
      </c>
    </row>
    <row r="102" spans="1:31" x14ac:dyDescent="0.25">
      <c r="A102" s="1" t="s">
        <v>30</v>
      </c>
      <c r="B102" s="1">
        <v>2022</v>
      </c>
      <c r="C102" s="1" t="s">
        <v>35</v>
      </c>
      <c r="D102" s="1" t="s">
        <v>191</v>
      </c>
      <c r="E102" s="1">
        <v>148.80000000000001</v>
      </c>
      <c r="F102" s="1">
        <v>198.1</v>
      </c>
      <c r="G102" s="1">
        <v>175.5</v>
      </c>
      <c r="H102" s="1">
        <v>160.69999999999999</v>
      </c>
      <c r="I102" s="1">
        <v>192.6</v>
      </c>
      <c r="J102" s="1">
        <v>151.4</v>
      </c>
      <c r="K102" s="1">
        <v>155.19999999999999</v>
      </c>
      <c r="L102" s="1">
        <v>163.9</v>
      </c>
      <c r="M102" s="1">
        <v>118.1</v>
      </c>
      <c r="N102" s="1">
        <v>175.4</v>
      </c>
      <c r="O102" s="1">
        <v>170.5</v>
      </c>
      <c r="P102" s="1">
        <v>176.3</v>
      </c>
      <c r="Q102" s="1">
        <v>163.9</v>
      </c>
      <c r="R102" s="1">
        <v>191.5</v>
      </c>
      <c r="S102" s="1">
        <v>174.1</v>
      </c>
      <c r="T102" s="1">
        <v>171</v>
      </c>
      <c r="U102" s="1">
        <v>173.7</v>
      </c>
      <c r="V102" s="14">
        <f>VLOOKUP($D102,Notes!$B$2:$C$229,2,0)</f>
        <v>165.5</v>
      </c>
      <c r="W102" s="1">
        <v>167.4</v>
      </c>
      <c r="X102" s="1">
        <v>165.7</v>
      </c>
      <c r="Y102" s="1">
        <v>175.3</v>
      </c>
      <c r="Z102" s="1">
        <v>161.19999999999999</v>
      </c>
      <c r="AA102" s="1">
        <v>165.5</v>
      </c>
      <c r="AB102" s="1">
        <v>170.3</v>
      </c>
      <c r="AC102" s="1">
        <v>164.5</v>
      </c>
      <c r="AD102" s="1">
        <v>167.3</v>
      </c>
      <c r="AE102" s="1">
        <v>166.7</v>
      </c>
    </row>
    <row r="103" spans="1:31" x14ac:dyDescent="0.25">
      <c r="A103" s="1" t="s">
        <v>33</v>
      </c>
      <c r="B103" s="1">
        <v>2018</v>
      </c>
      <c r="C103" s="1" t="s">
        <v>38</v>
      </c>
      <c r="D103" s="1" t="s">
        <v>147</v>
      </c>
      <c r="E103" s="1">
        <v>135</v>
      </c>
      <c r="F103" s="1">
        <v>148.19999999999999</v>
      </c>
      <c r="G103" s="1">
        <v>130.5</v>
      </c>
      <c r="H103" s="1">
        <v>140.69999999999999</v>
      </c>
      <c r="I103" s="1">
        <v>116.4</v>
      </c>
      <c r="J103" s="1">
        <v>151.30000000000001</v>
      </c>
      <c r="K103" s="1">
        <v>131.4</v>
      </c>
      <c r="L103" s="1">
        <v>112.8</v>
      </c>
      <c r="M103" s="1">
        <v>105.3</v>
      </c>
      <c r="N103" s="1">
        <v>139.6</v>
      </c>
      <c r="O103" s="1">
        <v>126.6</v>
      </c>
      <c r="P103" s="1">
        <v>148.69999999999999</v>
      </c>
      <c r="Q103" s="1">
        <v>136.4</v>
      </c>
      <c r="R103" s="1">
        <v>160.30000000000001</v>
      </c>
      <c r="S103" s="1">
        <v>138.6</v>
      </c>
      <c r="T103" s="1">
        <v>127.9</v>
      </c>
      <c r="U103" s="1">
        <v>137</v>
      </c>
      <c r="V103" s="1">
        <v>143.19999999999999</v>
      </c>
      <c r="W103" s="1">
        <v>124.7</v>
      </c>
      <c r="X103" s="1">
        <v>132.5</v>
      </c>
      <c r="Y103" s="1">
        <v>132</v>
      </c>
      <c r="Z103" s="1">
        <v>119.8</v>
      </c>
      <c r="AA103" s="1">
        <v>128</v>
      </c>
      <c r="AB103" s="1">
        <v>140.4</v>
      </c>
      <c r="AC103" s="1">
        <v>128.1</v>
      </c>
      <c r="AD103" s="1">
        <v>128.9</v>
      </c>
      <c r="AE103" s="1">
        <v>135.4</v>
      </c>
    </row>
    <row r="104" spans="1:31" x14ac:dyDescent="0.25">
      <c r="A104" s="1" t="s">
        <v>34</v>
      </c>
      <c r="B104" s="1">
        <v>2020</v>
      </c>
      <c r="C104" s="1" t="s">
        <v>43</v>
      </c>
      <c r="D104" s="1" t="s">
        <v>175</v>
      </c>
      <c r="E104" s="1">
        <v>147.5</v>
      </c>
      <c r="F104" s="1">
        <v>188.9</v>
      </c>
      <c r="G104" s="1">
        <v>161.4</v>
      </c>
      <c r="H104" s="1">
        <v>153.6</v>
      </c>
      <c r="I104" s="1">
        <v>140.1</v>
      </c>
      <c r="J104" s="1">
        <v>151.19999999999999</v>
      </c>
      <c r="K104" s="1">
        <v>209.2</v>
      </c>
      <c r="L104" s="1">
        <v>150.9</v>
      </c>
      <c r="M104" s="1">
        <v>116.2</v>
      </c>
      <c r="N104" s="1">
        <v>161</v>
      </c>
      <c r="O104" s="1">
        <v>144</v>
      </c>
      <c r="P104" s="1">
        <v>163.19999999999999</v>
      </c>
      <c r="Q104" s="1">
        <v>161.4</v>
      </c>
      <c r="R104" s="1">
        <v>184.3</v>
      </c>
      <c r="S104" s="1">
        <v>153.69999999999999</v>
      </c>
      <c r="T104" s="1">
        <v>144.6</v>
      </c>
      <c r="U104" s="1">
        <v>152.30000000000001</v>
      </c>
      <c r="V104" s="1">
        <v>156.5</v>
      </c>
      <c r="W104" s="1">
        <v>143.1</v>
      </c>
      <c r="X104" s="1">
        <v>148.69999999999999</v>
      </c>
      <c r="Y104" s="1">
        <v>156.30000000000001</v>
      </c>
      <c r="Z104" s="1">
        <v>140.6</v>
      </c>
      <c r="AA104" s="1">
        <v>146.5</v>
      </c>
      <c r="AB104" s="1">
        <v>158.5</v>
      </c>
      <c r="AC104" s="1">
        <v>157</v>
      </c>
      <c r="AD104" s="1">
        <v>150.4</v>
      </c>
      <c r="AE104" s="1">
        <v>156.4</v>
      </c>
    </row>
    <row r="105" spans="1:31" x14ac:dyDescent="0.25">
      <c r="A105" s="1" t="s">
        <v>30</v>
      </c>
      <c r="B105" s="1">
        <v>2022</v>
      </c>
      <c r="C105" s="1" t="s">
        <v>31</v>
      </c>
      <c r="D105" s="1" t="s">
        <v>190</v>
      </c>
      <c r="E105" s="1">
        <v>148.30000000000001</v>
      </c>
      <c r="F105" s="1">
        <v>196.9</v>
      </c>
      <c r="G105" s="1">
        <v>178</v>
      </c>
      <c r="H105" s="1">
        <v>160.5</v>
      </c>
      <c r="I105" s="1">
        <v>192.6</v>
      </c>
      <c r="J105" s="1">
        <v>151.19999999999999</v>
      </c>
      <c r="K105" s="1">
        <v>159.19999999999999</v>
      </c>
      <c r="L105" s="1">
        <v>164</v>
      </c>
      <c r="M105" s="1">
        <v>119.3</v>
      </c>
      <c r="N105" s="1">
        <v>173.3</v>
      </c>
      <c r="O105" s="1">
        <v>169.8</v>
      </c>
      <c r="P105" s="1">
        <v>175.8</v>
      </c>
      <c r="Q105" s="1">
        <v>164.1</v>
      </c>
      <c r="R105" s="1">
        <v>190.7</v>
      </c>
      <c r="S105" s="1">
        <v>173.2</v>
      </c>
      <c r="T105" s="1">
        <v>169.3</v>
      </c>
      <c r="U105" s="1">
        <v>172.7</v>
      </c>
      <c r="V105" s="14">
        <f>VLOOKUP($D105,Notes!$B$2:$C$229,2,0)</f>
        <v>164.5</v>
      </c>
      <c r="W105" s="1">
        <v>165.8</v>
      </c>
      <c r="X105" s="1">
        <v>164.9</v>
      </c>
      <c r="Y105" s="1">
        <v>174.7</v>
      </c>
      <c r="Z105" s="1">
        <v>160.80000000000001</v>
      </c>
      <c r="AA105" s="1">
        <v>164.9</v>
      </c>
      <c r="AB105" s="1">
        <v>169.9</v>
      </c>
      <c r="AC105" s="1">
        <v>163.19999999999999</v>
      </c>
      <c r="AD105" s="1">
        <v>166.6</v>
      </c>
      <c r="AE105" s="1">
        <v>166.4</v>
      </c>
    </row>
    <row r="106" spans="1:31" x14ac:dyDescent="0.25">
      <c r="A106" s="1" t="s">
        <v>33</v>
      </c>
      <c r="B106" s="1">
        <v>2019</v>
      </c>
      <c r="C106" s="1" t="s">
        <v>39</v>
      </c>
      <c r="D106" s="1" t="s">
        <v>159</v>
      </c>
      <c r="E106" s="1">
        <v>140.69999999999999</v>
      </c>
      <c r="F106" s="1">
        <v>159.6</v>
      </c>
      <c r="G106" s="1">
        <v>140.4</v>
      </c>
      <c r="H106" s="1">
        <v>143.4</v>
      </c>
      <c r="I106" s="1">
        <v>118.6</v>
      </c>
      <c r="J106" s="1">
        <v>150.9</v>
      </c>
      <c r="K106" s="1">
        <v>169.8</v>
      </c>
      <c r="L106" s="1">
        <v>127.4</v>
      </c>
      <c r="M106" s="1">
        <v>111.8</v>
      </c>
      <c r="N106" s="1">
        <v>141</v>
      </c>
      <c r="O106" s="1">
        <v>129</v>
      </c>
      <c r="P106" s="1">
        <v>155.1</v>
      </c>
      <c r="Q106" s="1">
        <v>145.6</v>
      </c>
      <c r="R106" s="1">
        <v>166.7</v>
      </c>
      <c r="S106" s="1">
        <v>144.30000000000001</v>
      </c>
      <c r="T106" s="1">
        <v>131.69999999999999</v>
      </c>
      <c r="U106" s="1">
        <v>142.4</v>
      </c>
      <c r="V106" s="1">
        <v>149.4</v>
      </c>
      <c r="W106" s="1">
        <v>130.5</v>
      </c>
      <c r="X106" s="1">
        <v>137.4</v>
      </c>
      <c r="Y106" s="1">
        <v>140.30000000000001</v>
      </c>
      <c r="Z106" s="1">
        <v>119.6</v>
      </c>
      <c r="AA106" s="1">
        <v>134.30000000000001</v>
      </c>
      <c r="AB106" s="1">
        <v>148.9</v>
      </c>
      <c r="AC106" s="1">
        <v>133.69999999999999</v>
      </c>
      <c r="AD106" s="1">
        <v>133.6</v>
      </c>
      <c r="AE106" s="1">
        <v>142.1</v>
      </c>
    </row>
    <row r="107" spans="1:31" x14ac:dyDescent="0.25">
      <c r="A107" s="1" t="s">
        <v>34</v>
      </c>
      <c r="B107" s="1">
        <v>2020</v>
      </c>
      <c r="C107" s="1" t="s">
        <v>42</v>
      </c>
      <c r="D107" s="1" t="s">
        <v>174</v>
      </c>
      <c r="E107" s="1">
        <v>148.4</v>
      </c>
      <c r="F107" s="1">
        <v>187.1</v>
      </c>
      <c r="G107" s="1">
        <v>152.5</v>
      </c>
      <c r="H107" s="1">
        <v>153.6</v>
      </c>
      <c r="I107" s="1">
        <v>138.19999999999999</v>
      </c>
      <c r="J107" s="1">
        <v>150.9</v>
      </c>
      <c r="K107" s="1">
        <v>186.7</v>
      </c>
      <c r="L107" s="1">
        <v>149.80000000000001</v>
      </c>
      <c r="M107" s="1">
        <v>116.4</v>
      </c>
      <c r="N107" s="1">
        <v>160.30000000000001</v>
      </c>
      <c r="O107" s="1">
        <v>142.19999999999999</v>
      </c>
      <c r="P107" s="1">
        <v>162.9</v>
      </c>
      <c r="Q107" s="1">
        <v>158</v>
      </c>
      <c r="R107" s="1">
        <v>184.4</v>
      </c>
      <c r="S107" s="1">
        <v>153.4</v>
      </c>
      <c r="T107" s="1">
        <v>144.30000000000001</v>
      </c>
      <c r="U107" s="1">
        <v>152</v>
      </c>
      <c r="V107" s="1">
        <v>156.30000000000001</v>
      </c>
      <c r="W107" s="1">
        <v>142.9</v>
      </c>
      <c r="X107" s="1">
        <v>148.69999999999999</v>
      </c>
      <c r="Y107" s="1">
        <v>155.6</v>
      </c>
      <c r="Z107" s="1">
        <v>139.6</v>
      </c>
      <c r="AA107" s="1">
        <v>146.6</v>
      </c>
      <c r="AB107" s="1">
        <v>157.5</v>
      </c>
      <c r="AC107" s="1">
        <v>158.4</v>
      </c>
      <c r="AD107" s="1">
        <v>150</v>
      </c>
      <c r="AE107" s="1">
        <v>154.69999999999999</v>
      </c>
    </row>
    <row r="108" spans="1:31" x14ac:dyDescent="0.25">
      <c r="A108" s="1" t="s">
        <v>34</v>
      </c>
      <c r="B108" s="1">
        <v>2021</v>
      </c>
      <c r="C108" s="1" t="s">
        <v>35</v>
      </c>
      <c r="D108" s="1" t="s">
        <v>179</v>
      </c>
      <c r="E108" s="1">
        <v>144.30000000000001</v>
      </c>
      <c r="F108" s="1">
        <v>186.5</v>
      </c>
      <c r="G108" s="1">
        <v>168.7</v>
      </c>
      <c r="H108" s="1">
        <v>154.69999999999999</v>
      </c>
      <c r="I108" s="1">
        <v>158.69999999999999</v>
      </c>
      <c r="J108" s="1">
        <v>150.69999999999999</v>
      </c>
      <c r="K108" s="1">
        <v>160</v>
      </c>
      <c r="L108" s="1">
        <v>158.80000000000001</v>
      </c>
      <c r="M108" s="1">
        <v>112.8</v>
      </c>
      <c r="N108" s="1">
        <v>164.2</v>
      </c>
      <c r="O108" s="1">
        <v>155.5</v>
      </c>
      <c r="P108" s="1">
        <v>167.5</v>
      </c>
      <c r="Q108" s="1">
        <v>156.9</v>
      </c>
      <c r="R108" s="1">
        <v>188.3</v>
      </c>
      <c r="S108" s="1">
        <v>157.19999999999999</v>
      </c>
      <c r="T108" s="1">
        <v>147.4</v>
      </c>
      <c r="U108" s="1">
        <v>155.80000000000001</v>
      </c>
      <c r="V108" s="1">
        <v>159.80000000000001</v>
      </c>
      <c r="W108" s="1">
        <v>152.4</v>
      </c>
      <c r="X108" s="1">
        <v>150.9</v>
      </c>
      <c r="Y108" s="1">
        <v>161.30000000000001</v>
      </c>
      <c r="Z108" s="1">
        <v>145.1</v>
      </c>
      <c r="AA108" s="1">
        <v>151.5</v>
      </c>
      <c r="AB108" s="1">
        <v>159.5</v>
      </c>
      <c r="AC108" s="1">
        <v>155.80000000000001</v>
      </c>
      <c r="AD108" s="1">
        <v>153.4</v>
      </c>
      <c r="AE108" s="1">
        <v>156.6</v>
      </c>
    </row>
    <row r="109" spans="1:31" x14ac:dyDescent="0.25">
      <c r="A109" s="1" t="s">
        <v>34</v>
      </c>
      <c r="B109" s="1">
        <v>2018</v>
      </c>
      <c r="C109" s="1" t="s">
        <v>41</v>
      </c>
      <c r="D109" s="1" t="s">
        <v>150</v>
      </c>
      <c r="E109" s="1">
        <v>138.30000000000001</v>
      </c>
      <c r="F109" s="1">
        <v>148</v>
      </c>
      <c r="G109" s="1">
        <v>138.1</v>
      </c>
      <c r="H109" s="1">
        <v>142.6</v>
      </c>
      <c r="I109" s="1">
        <v>122.2</v>
      </c>
      <c r="J109" s="1">
        <v>150.6</v>
      </c>
      <c r="K109" s="1">
        <v>156.6</v>
      </c>
      <c r="L109" s="1">
        <v>122.4</v>
      </c>
      <c r="M109" s="1">
        <v>114.7</v>
      </c>
      <c r="N109" s="1">
        <v>139.4</v>
      </c>
      <c r="O109" s="1">
        <v>131.1</v>
      </c>
      <c r="P109" s="1">
        <v>153</v>
      </c>
      <c r="Q109" s="1">
        <v>141.69999999999999</v>
      </c>
      <c r="R109" s="1">
        <v>157.9</v>
      </c>
      <c r="S109" s="1">
        <v>147.30000000000001</v>
      </c>
      <c r="T109" s="1">
        <v>138.80000000000001</v>
      </c>
      <c r="U109" s="1">
        <v>146.1</v>
      </c>
      <c r="V109" s="1">
        <v>144.6</v>
      </c>
      <c r="W109" s="1">
        <v>140.9</v>
      </c>
      <c r="X109" s="1">
        <v>139.4</v>
      </c>
      <c r="Y109" s="1">
        <v>137.69999999999999</v>
      </c>
      <c r="Z109" s="1">
        <v>124.3</v>
      </c>
      <c r="AA109" s="1">
        <v>133.6</v>
      </c>
      <c r="AB109" s="1">
        <v>146</v>
      </c>
      <c r="AC109" s="1">
        <v>130.1</v>
      </c>
      <c r="AD109" s="1">
        <v>133.9</v>
      </c>
      <c r="AE109" s="1">
        <v>140.4</v>
      </c>
    </row>
    <row r="110" spans="1:31" x14ac:dyDescent="0.25">
      <c r="A110" s="1" t="s">
        <v>33</v>
      </c>
      <c r="B110" s="1">
        <v>2019</v>
      </c>
      <c r="C110" s="1" t="s">
        <v>43</v>
      </c>
      <c r="D110" s="1" t="s">
        <v>163</v>
      </c>
      <c r="E110" s="1">
        <v>143.5</v>
      </c>
      <c r="F110" s="1">
        <v>159.80000000000001</v>
      </c>
      <c r="G110" s="1">
        <v>144.69999999999999</v>
      </c>
      <c r="H110" s="1">
        <v>145.6</v>
      </c>
      <c r="I110" s="1">
        <v>121.1</v>
      </c>
      <c r="J110" s="1">
        <v>150.6</v>
      </c>
      <c r="K110" s="1">
        <v>207.2</v>
      </c>
      <c r="L110" s="1">
        <v>131.19999999999999</v>
      </c>
      <c r="M110" s="1">
        <v>114.8</v>
      </c>
      <c r="N110" s="1">
        <v>145.19999999999999</v>
      </c>
      <c r="O110" s="1">
        <v>130.19999999999999</v>
      </c>
      <c r="P110" s="1">
        <v>156.80000000000001</v>
      </c>
      <c r="Q110" s="1">
        <v>151.9</v>
      </c>
      <c r="R110" s="1">
        <v>169.3</v>
      </c>
      <c r="S110" s="1">
        <v>145.9</v>
      </c>
      <c r="T110" s="1">
        <v>132.4</v>
      </c>
      <c r="U110" s="1">
        <v>143.9</v>
      </c>
      <c r="V110" s="1">
        <v>153</v>
      </c>
      <c r="W110" s="1">
        <v>128.9</v>
      </c>
      <c r="X110" s="1">
        <v>138.69999999999999</v>
      </c>
      <c r="Y110" s="1">
        <v>142.4</v>
      </c>
      <c r="Z110" s="1">
        <v>121.5</v>
      </c>
      <c r="AA110" s="1">
        <v>136.19999999999999</v>
      </c>
      <c r="AB110" s="1">
        <v>151.69999999999999</v>
      </c>
      <c r="AC110" s="1">
        <v>139.5</v>
      </c>
      <c r="AD110" s="1">
        <v>136</v>
      </c>
      <c r="AE110" s="1">
        <v>146</v>
      </c>
    </row>
    <row r="111" spans="1:31" x14ac:dyDescent="0.25">
      <c r="A111" s="1" t="s">
        <v>33</v>
      </c>
      <c r="B111" s="1">
        <v>2020</v>
      </c>
      <c r="C111" s="1" t="s">
        <v>44</v>
      </c>
      <c r="D111" s="1" t="s">
        <v>176</v>
      </c>
      <c r="E111" s="1">
        <v>149.69999999999999</v>
      </c>
      <c r="F111" s="1">
        <v>195.5</v>
      </c>
      <c r="G111" s="1">
        <v>176.9</v>
      </c>
      <c r="H111" s="1">
        <v>153.9</v>
      </c>
      <c r="I111" s="1">
        <v>138</v>
      </c>
      <c r="J111" s="1">
        <v>150.5</v>
      </c>
      <c r="K111" s="1">
        <v>245.3</v>
      </c>
      <c r="L111" s="1">
        <v>158.69999999999999</v>
      </c>
      <c r="M111" s="1">
        <v>117.2</v>
      </c>
      <c r="N111" s="1">
        <v>161.4</v>
      </c>
      <c r="O111" s="1">
        <v>141.5</v>
      </c>
      <c r="P111" s="1">
        <v>165.1</v>
      </c>
      <c r="Q111" s="1">
        <v>167</v>
      </c>
      <c r="R111" s="1">
        <v>188.8</v>
      </c>
      <c r="S111" s="1">
        <v>151.1</v>
      </c>
      <c r="T111" s="1">
        <v>136.4</v>
      </c>
      <c r="U111" s="1">
        <v>148.80000000000001</v>
      </c>
      <c r="V111" s="1">
        <v>158</v>
      </c>
      <c r="W111" s="1">
        <v>137.30000000000001</v>
      </c>
      <c r="X111" s="1">
        <v>145.1</v>
      </c>
      <c r="Y111" s="1">
        <v>152</v>
      </c>
      <c r="Z111" s="1">
        <v>135.19999999999999</v>
      </c>
      <c r="AA111" s="1">
        <v>144.4</v>
      </c>
      <c r="AB111" s="1">
        <v>156.4</v>
      </c>
      <c r="AC111" s="1">
        <v>157.9</v>
      </c>
      <c r="AD111" s="1">
        <v>146.6</v>
      </c>
      <c r="AE111" s="1">
        <v>156.69999999999999</v>
      </c>
    </row>
    <row r="112" spans="1:31" x14ac:dyDescent="0.25">
      <c r="A112" s="1" t="s">
        <v>30</v>
      </c>
      <c r="B112" s="1">
        <v>2021</v>
      </c>
      <c r="C112" s="1" t="s">
        <v>36</v>
      </c>
      <c r="D112" s="1" t="s">
        <v>180</v>
      </c>
      <c r="E112" s="1">
        <v>142.5</v>
      </c>
      <c r="F112" s="1">
        <v>189.4</v>
      </c>
      <c r="G112" s="1">
        <v>163.19999999999999</v>
      </c>
      <c r="H112" s="1">
        <v>154.5</v>
      </c>
      <c r="I112" s="1">
        <v>168.2</v>
      </c>
      <c r="J112" s="1">
        <v>150.5</v>
      </c>
      <c r="K112" s="1">
        <v>141</v>
      </c>
      <c r="L112" s="1">
        <v>159.19999999999999</v>
      </c>
      <c r="M112" s="1">
        <v>111.7</v>
      </c>
      <c r="N112" s="1">
        <v>164</v>
      </c>
      <c r="O112" s="1">
        <v>160.6</v>
      </c>
      <c r="P112" s="1">
        <v>166.4</v>
      </c>
      <c r="Q112" s="1">
        <v>154.5</v>
      </c>
      <c r="R112" s="1">
        <v>186.1</v>
      </c>
      <c r="S112" s="1">
        <v>159.6</v>
      </c>
      <c r="T112" s="1">
        <v>154.4</v>
      </c>
      <c r="U112" s="1">
        <v>158.9</v>
      </c>
      <c r="V112" s="14">
        <v>159.9</v>
      </c>
      <c r="W112" s="1">
        <v>156</v>
      </c>
      <c r="X112" s="1">
        <v>154.80000000000001</v>
      </c>
      <c r="Y112" s="1">
        <v>164.6</v>
      </c>
      <c r="Z112" s="1">
        <v>151.30000000000001</v>
      </c>
      <c r="AA112" s="1">
        <v>157.80000000000001</v>
      </c>
      <c r="AB112" s="1">
        <v>163.80000000000001</v>
      </c>
      <c r="AC112" s="1">
        <v>153.1</v>
      </c>
      <c r="AD112" s="1">
        <v>157.30000000000001</v>
      </c>
      <c r="AE112" s="1">
        <v>156.69999999999999</v>
      </c>
    </row>
    <row r="113" spans="1:31" x14ac:dyDescent="0.25">
      <c r="A113" s="1" t="s">
        <v>34</v>
      </c>
      <c r="B113" s="1">
        <v>2020</v>
      </c>
      <c r="C113" s="1" t="s">
        <v>41</v>
      </c>
      <c r="D113" s="1" t="s">
        <v>173</v>
      </c>
      <c r="E113" s="1">
        <v>148.9</v>
      </c>
      <c r="F113" s="1">
        <v>190.9</v>
      </c>
      <c r="G113" s="1">
        <v>150.80000000000001</v>
      </c>
      <c r="H113" s="1">
        <v>153.30000000000001</v>
      </c>
      <c r="I113" s="1">
        <v>137.4</v>
      </c>
      <c r="J113" s="1">
        <v>150.4</v>
      </c>
      <c r="K113" s="1">
        <v>178.1</v>
      </c>
      <c r="L113" s="1">
        <v>150.4</v>
      </c>
      <c r="M113" s="1">
        <v>115.1</v>
      </c>
      <c r="N113" s="1">
        <v>160</v>
      </c>
      <c r="O113" s="1">
        <v>140.6</v>
      </c>
      <c r="P113" s="1">
        <v>162.30000000000001</v>
      </c>
      <c r="Q113" s="1">
        <v>157</v>
      </c>
      <c r="R113" s="1">
        <v>182.6</v>
      </c>
      <c r="S113" s="1">
        <v>153.1</v>
      </c>
      <c r="T113" s="1">
        <v>143.4</v>
      </c>
      <c r="U113" s="1">
        <v>151.69999999999999</v>
      </c>
      <c r="V113" s="1">
        <v>155.5</v>
      </c>
      <c r="W113" s="1">
        <v>143</v>
      </c>
      <c r="X113" s="1">
        <v>148.4</v>
      </c>
      <c r="Y113" s="1">
        <v>155</v>
      </c>
      <c r="Z113" s="1">
        <v>138.5</v>
      </c>
      <c r="AA113" s="1">
        <v>146</v>
      </c>
      <c r="AB113" s="1">
        <v>158.5</v>
      </c>
      <c r="AC113" s="1">
        <v>154.30000000000001</v>
      </c>
      <c r="AD113" s="1">
        <v>149</v>
      </c>
      <c r="AE113" s="1">
        <v>153.9</v>
      </c>
    </row>
    <row r="114" spans="1:31" x14ac:dyDescent="0.25">
      <c r="A114" s="1" t="s">
        <v>34</v>
      </c>
      <c r="B114" s="1">
        <v>2019</v>
      </c>
      <c r="C114" s="1" t="s">
        <v>40</v>
      </c>
      <c r="D114" s="1" t="s">
        <v>160</v>
      </c>
      <c r="E114" s="1">
        <v>139.30000000000001</v>
      </c>
      <c r="F114" s="1">
        <v>162.69999999999999</v>
      </c>
      <c r="G114" s="1">
        <v>140</v>
      </c>
      <c r="H114" s="1">
        <v>144</v>
      </c>
      <c r="I114" s="1">
        <v>122.5</v>
      </c>
      <c r="J114" s="1">
        <v>150.30000000000001</v>
      </c>
      <c r="K114" s="1">
        <v>160.30000000000001</v>
      </c>
      <c r="L114" s="1">
        <v>130</v>
      </c>
      <c r="M114" s="1">
        <v>111.1</v>
      </c>
      <c r="N114" s="1">
        <v>141.69999999999999</v>
      </c>
      <c r="O114" s="1">
        <v>134.69999999999999</v>
      </c>
      <c r="P114" s="1">
        <v>156.19999999999999</v>
      </c>
      <c r="Q114" s="1">
        <v>144.69999999999999</v>
      </c>
      <c r="R114" s="1">
        <v>165.2</v>
      </c>
      <c r="S114" s="1">
        <v>148.9</v>
      </c>
      <c r="T114" s="1">
        <v>140.5</v>
      </c>
      <c r="U114" s="1">
        <v>147.6</v>
      </c>
      <c r="V114" s="1">
        <v>150.6</v>
      </c>
      <c r="W114" s="1">
        <v>139.30000000000001</v>
      </c>
      <c r="X114" s="1">
        <v>144.19999999999999</v>
      </c>
      <c r="Y114" s="1">
        <v>147.9</v>
      </c>
      <c r="Z114" s="1">
        <v>125.6</v>
      </c>
      <c r="AA114" s="1">
        <v>140.5</v>
      </c>
      <c r="AB114" s="1">
        <v>154</v>
      </c>
      <c r="AC114" s="1">
        <v>135.69999999999999</v>
      </c>
      <c r="AD114" s="1">
        <v>139.5</v>
      </c>
      <c r="AE114" s="1">
        <v>144.19999999999999</v>
      </c>
    </row>
    <row r="115" spans="1:31" x14ac:dyDescent="0.25">
      <c r="A115" s="1" t="s">
        <v>33</v>
      </c>
      <c r="B115" s="1">
        <v>2018</v>
      </c>
      <c r="C115" s="1" t="s">
        <v>37</v>
      </c>
      <c r="D115" s="1" t="s">
        <v>146</v>
      </c>
      <c r="E115" s="1">
        <v>135</v>
      </c>
      <c r="F115" s="1">
        <v>144.30000000000001</v>
      </c>
      <c r="G115" s="1">
        <v>130.80000000000001</v>
      </c>
      <c r="H115" s="1">
        <v>140.30000000000001</v>
      </c>
      <c r="I115" s="1">
        <v>116.6</v>
      </c>
      <c r="J115" s="1">
        <v>150.1</v>
      </c>
      <c r="K115" s="1">
        <v>127.6</v>
      </c>
      <c r="L115" s="1">
        <v>114</v>
      </c>
      <c r="M115" s="1">
        <v>110.6</v>
      </c>
      <c r="N115" s="1">
        <v>140.19999999999999</v>
      </c>
      <c r="O115" s="1">
        <v>126.5</v>
      </c>
      <c r="P115" s="1">
        <v>148.30000000000001</v>
      </c>
      <c r="Q115" s="1">
        <v>135.69999999999999</v>
      </c>
      <c r="R115" s="1">
        <v>159.19999999999999</v>
      </c>
      <c r="S115" s="1">
        <v>137.80000000000001</v>
      </c>
      <c r="T115" s="1">
        <v>127.4</v>
      </c>
      <c r="U115" s="1">
        <v>136.19999999999999</v>
      </c>
      <c r="V115" s="1">
        <v>142.9</v>
      </c>
      <c r="W115" s="1">
        <v>124.6</v>
      </c>
      <c r="X115" s="1">
        <v>131.80000000000001</v>
      </c>
      <c r="Y115" s="1">
        <v>131.30000000000001</v>
      </c>
      <c r="Z115" s="1">
        <v>118.9</v>
      </c>
      <c r="AA115" s="1">
        <v>127.6</v>
      </c>
      <c r="AB115" s="1">
        <v>139.69999999999999</v>
      </c>
      <c r="AC115" s="1">
        <v>127.6</v>
      </c>
      <c r="AD115" s="1">
        <v>128.19999999999999</v>
      </c>
      <c r="AE115" s="1">
        <v>134.80000000000001</v>
      </c>
    </row>
    <row r="116" spans="1:31" x14ac:dyDescent="0.25">
      <c r="A116" s="1" t="s">
        <v>30</v>
      </c>
      <c r="B116" s="1">
        <v>2018</v>
      </c>
      <c r="C116" s="1" t="s">
        <v>42</v>
      </c>
      <c r="D116" s="1" t="s">
        <v>151</v>
      </c>
      <c r="E116" s="1">
        <v>139.4</v>
      </c>
      <c r="F116" s="1">
        <v>147.19999999999999</v>
      </c>
      <c r="G116" s="1">
        <v>136.6</v>
      </c>
      <c r="H116" s="1">
        <v>143.69999999999999</v>
      </c>
      <c r="I116" s="1">
        <v>124.6</v>
      </c>
      <c r="J116" s="1">
        <v>150.1</v>
      </c>
      <c r="K116" s="1">
        <v>149.4</v>
      </c>
      <c r="L116" s="1">
        <v>125.4</v>
      </c>
      <c r="M116" s="1">
        <v>114.4</v>
      </c>
      <c r="N116" s="1">
        <v>138.69999999999999</v>
      </c>
      <c r="O116" s="1">
        <v>133.1</v>
      </c>
      <c r="P116" s="1">
        <v>155.9</v>
      </c>
      <c r="Q116" s="1">
        <v>141.30000000000001</v>
      </c>
      <c r="R116" s="1">
        <v>157.69999999999999</v>
      </c>
      <c r="S116" s="1">
        <v>152.1</v>
      </c>
      <c r="T116" s="1">
        <v>146.1</v>
      </c>
      <c r="U116" s="1">
        <v>151.30000000000001</v>
      </c>
      <c r="V116" s="14">
        <f>VLOOKUP($D116,Notes!$B$2:$C$229,2,0)</f>
        <v>145.30000000000001</v>
      </c>
      <c r="W116" s="1">
        <v>149</v>
      </c>
      <c r="X116" s="1">
        <v>144</v>
      </c>
      <c r="Y116" s="1">
        <v>140</v>
      </c>
      <c r="Z116" s="1">
        <v>129.9</v>
      </c>
      <c r="AA116" s="1">
        <v>140</v>
      </c>
      <c r="AB116" s="1">
        <v>147.6</v>
      </c>
      <c r="AC116" s="1">
        <v>132</v>
      </c>
      <c r="AD116" s="1">
        <v>137.4</v>
      </c>
      <c r="AE116" s="1">
        <v>142.1</v>
      </c>
    </row>
    <row r="117" spans="1:31" x14ac:dyDescent="0.25">
      <c r="A117" s="1" t="s">
        <v>34</v>
      </c>
      <c r="B117" s="1">
        <v>2020</v>
      </c>
      <c r="C117" s="1" t="s">
        <v>37</v>
      </c>
      <c r="D117" s="1" t="s">
        <v>169</v>
      </c>
      <c r="E117" s="1">
        <v>148.69999999999999</v>
      </c>
      <c r="F117" s="14">
        <v>178.55</v>
      </c>
      <c r="G117" s="1">
        <v>148.80000000000001</v>
      </c>
      <c r="H117" s="1">
        <v>155.6</v>
      </c>
      <c r="I117" s="1">
        <v>135.1</v>
      </c>
      <c r="J117" s="1">
        <v>149.9</v>
      </c>
      <c r="K117" s="1">
        <v>168.6</v>
      </c>
      <c r="L117" s="1">
        <v>150.4</v>
      </c>
      <c r="M117" s="1">
        <v>120.3</v>
      </c>
      <c r="N117" s="1">
        <v>157.1</v>
      </c>
      <c r="O117" s="1">
        <v>136.80000000000001</v>
      </c>
      <c r="P117" s="14">
        <v>160.39999999999998</v>
      </c>
      <c r="Q117" s="1">
        <v>151.4</v>
      </c>
      <c r="R117" s="14">
        <v>180</v>
      </c>
      <c r="S117" s="14">
        <v>148.39999999999998</v>
      </c>
      <c r="T117" s="14">
        <v>135.19999999999999</v>
      </c>
      <c r="U117" s="14">
        <v>146.39999999999998</v>
      </c>
      <c r="V117" s="1">
        <v>155.6</v>
      </c>
      <c r="W117" s="1">
        <v>144.1</v>
      </c>
      <c r="X117" s="1">
        <v>151.6</v>
      </c>
      <c r="Y117" s="1">
        <v>150.69999999999999</v>
      </c>
      <c r="Z117" s="14">
        <v>126.95</v>
      </c>
      <c r="AA117" s="14">
        <v>141.19999999999999</v>
      </c>
      <c r="AB117" s="14">
        <v>152.5</v>
      </c>
      <c r="AC117" s="14">
        <v>148.75</v>
      </c>
      <c r="AD117" s="14">
        <v>140.35</v>
      </c>
      <c r="AE117" s="14">
        <v>149.05000000000001</v>
      </c>
    </row>
    <row r="118" spans="1:31" x14ac:dyDescent="0.25">
      <c r="A118" s="1" t="s">
        <v>33</v>
      </c>
      <c r="B118" s="1">
        <v>2019</v>
      </c>
      <c r="C118" s="1" t="s">
        <v>42</v>
      </c>
      <c r="D118" s="1" t="s">
        <v>162</v>
      </c>
      <c r="E118" s="1">
        <v>142.69999999999999</v>
      </c>
      <c r="F118" s="1">
        <v>158.69999999999999</v>
      </c>
      <c r="G118" s="1">
        <v>141.6</v>
      </c>
      <c r="H118" s="1">
        <v>144.9</v>
      </c>
      <c r="I118" s="1">
        <v>120.8</v>
      </c>
      <c r="J118" s="1">
        <v>149.80000000000001</v>
      </c>
      <c r="K118" s="1">
        <v>192.4</v>
      </c>
      <c r="L118" s="1">
        <v>130.30000000000001</v>
      </c>
      <c r="M118" s="1">
        <v>114</v>
      </c>
      <c r="N118" s="1">
        <v>143.80000000000001</v>
      </c>
      <c r="O118" s="1">
        <v>130</v>
      </c>
      <c r="P118" s="1">
        <v>156.4</v>
      </c>
      <c r="Q118" s="1">
        <v>149.5</v>
      </c>
      <c r="R118" s="1">
        <v>168.6</v>
      </c>
      <c r="S118" s="1">
        <v>145.30000000000001</v>
      </c>
      <c r="T118" s="1">
        <v>132.19999999999999</v>
      </c>
      <c r="U118" s="1">
        <v>143.30000000000001</v>
      </c>
      <c r="V118" s="1">
        <v>152.19999999999999</v>
      </c>
      <c r="W118" s="1">
        <v>126.6</v>
      </c>
      <c r="X118" s="1">
        <v>138.30000000000001</v>
      </c>
      <c r="Y118" s="1">
        <v>141.9</v>
      </c>
      <c r="Z118" s="1">
        <v>121.2</v>
      </c>
      <c r="AA118" s="1">
        <v>135.9</v>
      </c>
      <c r="AB118" s="1">
        <v>151.6</v>
      </c>
      <c r="AC118" s="1">
        <v>139</v>
      </c>
      <c r="AD118" s="1">
        <v>135.69999999999999</v>
      </c>
      <c r="AE118" s="1">
        <v>144.69999999999999</v>
      </c>
    </row>
    <row r="119" spans="1:31" x14ac:dyDescent="0.25">
      <c r="A119" s="1" t="s">
        <v>33</v>
      </c>
      <c r="B119" s="1">
        <v>2018</v>
      </c>
      <c r="C119" s="1" t="s">
        <v>40</v>
      </c>
      <c r="D119" s="1" t="s">
        <v>149</v>
      </c>
      <c r="E119" s="1">
        <v>135.6</v>
      </c>
      <c r="F119" s="1">
        <v>148.6</v>
      </c>
      <c r="G119" s="1">
        <v>139.1</v>
      </c>
      <c r="H119" s="1">
        <v>141</v>
      </c>
      <c r="I119" s="1">
        <v>116.7</v>
      </c>
      <c r="J119" s="1">
        <v>149.69999999999999</v>
      </c>
      <c r="K119" s="1">
        <v>159.19999999999999</v>
      </c>
      <c r="L119" s="1">
        <v>112.6</v>
      </c>
      <c r="M119" s="1">
        <v>111.8</v>
      </c>
      <c r="N119" s="1">
        <v>140.30000000000001</v>
      </c>
      <c r="O119" s="1">
        <v>126.8</v>
      </c>
      <c r="P119" s="1">
        <v>149.4</v>
      </c>
      <c r="Q119" s="1">
        <v>140.30000000000001</v>
      </c>
      <c r="R119" s="1">
        <v>161.4</v>
      </c>
      <c r="S119" s="1">
        <v>139.6</v>
      </c>
      <c r="T119" s="1">
        <v>128.9</v>
      </c>
      <c r="U119" s="1">
        <v>137.9</v>
      </c>
      <c r="V119" s="1">
        <v>143.6</v>
      </c>
      <c r="W119" s="1">
        <v>128.1</v>
      </c>
      <c r="X119" s="1">
        <v>133.6</v>
      </c>
      <c r="Y119" s="1">
        <v>133.6</v>
      </c>
      <c r="Z119" s="1">
        <v>120.1</v>
      </c>
      <c r="AA119" s="1">
        <v>129</v>
      </c>
      <c r="AB119" s="1">
        <v>144</v>
      </c>
      <c r="AC119" s="1">
        <v>128.19999999999999</v>
      </c>
      <c r="AD119" s="1">
        <v>130.19999999999999</v>
      </c>
      <c r="AE119" s="1">
        <v>137.5</v>
      </c>
    </row>
    <row r="120" spans="1:31" x14ac:dyDescent="0.25">
      <c r="A120" s="1" t="s">
        <v>33</v>
      </c>
      <c r="B120" s="1">
        <v>2019</v>
      </c>
      <c r="C120" s="1" t="s">
        <v>38</v>
      </c>
      <c r="D120" s="1" t="s">
        <v>158</v>
      </c>
      <c r="E120" s="1">
        <v>140.4</v>
      </c>
      <c r="F120" s="1">
        <v>156.69999999999999</v>
      </c>
      <c r="G120" s="1">
        <v>138.30000000000001</v>
      </c>
      <c r="H120" s="1">
        <v>142.4</v>
      </c>
      <c r="I120" s="1">
        <v>118.6</v>
      </c>
      <c r="J120" s="1">
        <v>149.69999999999999</v>
      </c>
      <c r="K120" s="1">
        <v>161.6</v>
      </c>
      <c r="L120" s="1">
        <v>124.4</v>
      </c>
      <c r="M120" s="1">
        <v>111.2</v>
      </c>
      <c r="N120" s="1">
        <v>141</v>
      </c>
      <c r="O120" s="1">
        <v>128.9</v>
      </c>
      <c r="P120" s="1">
        <v>154.5</v>
      </c>
      <c r="Q120" s="1">
        <v>143.80000000000001</v>
      </c>
      <c r="R120" s="1">
        <v>166.2</v>
      </c>
      <c r="S120" s="1">
        <v>144</v>
      </c>
      <c r="T120" s="1">
        <v>131.69999999999999</v>
      </c>
      <c r="U120" s="1">
        <v>142.19999999999999</v>
      </c>
      <c r="V120" s="1">
        <v>150.1</v>
      </c>
      <c r="W120" s="1">
        <v>129.4</v>
      </c>
      <c r="X120" s="1">
        <v>137.19999999999999</v>
      </c>
      <c r="Y120" s="1">
        <v>139.80000000000001</v>
      </c>
      <c r="Z120" s="1">
        <v>120.1</v>
      </c>
      <c r="AA120" s="1">
        <v>134</v>
      </c>
      <c r="AB120" s="1">
        <v>148</v>
      </c>
      <c r="AC120" s="1">
        <v>132.6</v>
      </c>
      <c r="AD120" s="1">
        <v>133.30000000000001</v>
      </c>
      <c r="AE120" s="1">
        <v>141.5</v>
      </c>
    </row>
    <row r="121" spans="1:31" x14ac:dyDescent="0.25">
      <c r="A121" s="1" t="s">
        <v>33</v>
      </c>
      <c r="B121" s="1">
        <v>2020</v>
      </c>
      <c r="C121" s="1" t="s">
        <v>45</v>
      </c>
      <c r="D121" s="1" t="s">
        <v>177</v>
      </c>
      <c r="E121" s="1">
        <v>149</v>
      </c>
      <c r="F121" s="1">
        <v>195.7</v>
      </c>
      <c r="G121" s="1">
        <v>178.3</v>
      </c>
      <c r="H121" s="1">
        <v>154.19999999999999</v>
      </c>
      <c r="I121" s="1">
        <v>140.69999999999999</v>
      </c>
      <c r="J121" s="1">
        <v>149.69999999999999</v>
      </c>
      <c r="K121" s="1">
        <v>240.9</v>
      </c>
      <c r="L121" s="1">
        <v>161.5</v>
      </c>
      <c r="M121" s="1">
        <v>117.1</v>
      </c>
      <c r="N121" s="1">
        <v>161.9</v>
      </c>
      <c r="O121" s="1">
        <v>143.30000000000001</v>
      </c>
      <c r="P121" s="1">
        <v>166.1</v>
      </c>
      <c r="Q121" s="1">
        <v>167</v>
      </c>
      <c r="R121" s="1">
        <v>190.2</v>
      </c>
      <c r="S121" s="1">
        <v>151.9</v>
      </c>
      <c r="T121" s="1">
        <v>136.69999999999999</v>
      </c>
      <c r="U121" s="1">
        <v>149.6</v>
      </c>
      <c r="V121" s="1">
        <v>158.4</v>
      </c>
      <c r="W121" s="1">
        <v>137.9</v>
      </c>
      <c r="X121" s="1">
        <v>145.5</v>
      </c>
      <c r="Y121" s="1">
        <v>152.9</v>
      </c>
      <c r="Z121" s="1">
        <v>135.5</v>
      </c>
      <c r="AA121" s="1">
        <v>144.30000000000001</v>
      </c>
      <c r="AB121" s="1">
        <v>156.9</v>
      </c>
      <c r="AC121" s="1">
        <v>157.9</v>
      </c>
      <c r="AD121" s="1">
        <v>146.9</v>
      </c>
      <c r="AE121" s="1">
        <v>156.9</v>
      </c>
    </row>
    <row r="122" spans="1:31" x14ac:dyDescent="0.25">
      <c r="A122" s="1" t="s">
        <v>34</v>
      </c>
      <c r="B122" s="1">
        <v>2021</v>
      </c>
      <c r="C122" s="1" t="s">
        <v>31</v>
      </c>
      <c r="D122" s="1" t="s">
        <v>178</v>
      </c>
      <c r="E122" s="1">
        <v>144.9</v>
      </c>
      <c r="F122" s="1">
        <v>190.1</v>
      </c>
      <c r="G122" s="1">
        <v>175.3</v>
      </c>
      <c r="H122" s="1">
        <v>154.1</v>
      </c>
      <c r="I122" s="1">
        <v>150.9</v>
      </c>
      <c r="J122" s="1">
        <v>149.6</v>
      </c>
      <c r="K122" s="1">
        <v>194.2</v>
      </c>
      <c r="L122" s="1">
        <v>160.4</v>
      </c>
      <c r="M122" s="1">
        <v>114.6</v>
      </c>
      <c r="N122" s="1">
        <v>164</v>
      </c>
      <c r="O122" s="1">
        <v>151.80000000000001</v>
      </c>
      <c r="P122" s="1">
        <v>165.6</v>
      </c>
      <c r="Q122" s="1">
        <v>161</v>
      </c>
      <c r="R122" s="1">
        <v>186.5</v>
      </c>
      <c r="S122" s="1">
        <v>155.5</v>
      </c>
      <c r="T122" s="1">
        <v>146.1</v>
      </c>
      <c r="U122" s="1">
        <v>154.19999999999999</v>
      </c>
      <c r="V122" s="1">
        <v>157.69999999999999</v>
      </c>
      <c r="W122" s="1">
        <v>147.9</v>
      </c>
      <c r="X122" s="1">
        <v>150</v>
      </c>
      <c r="Y122" s="1">
        <v>159.30000000000001</v>
      </c>
      <c r="Z122" s="1">
        <v>141.9</v>
      </c>
      <c r="AA122" s="1">
        <v>149.6</v>
      </c>
      <c r="AB122" s="1">
        <v>159.19999999999999</v>
      </c>
      <c r="AC122" s="1">
        <v>156.80000000000001</v>
      </c>
      <c r="AD122" s="1">
        <v>151.9</v>
      </c>
      <c r="AE122" s="1">
        <v>157.30000000000001</v>
      </c>
    </row>
    <row r="123" spans="1:31" x14ac:dyDescent="0.25">
      <c r="A123" s="1" t="s">
        <v>30</v>
      </c>
      <c r="B123" s="1">
        <v>2018</v>
      </c>
      <c r="C123" s="1" t="s">
        <v>35</v>
      </c>
      <c r="D123" s="1" t="s">
        <v>144</v>
      </c>
      <c r="E123" s="1">
        <v>136.4</v>
      </c>
      <c r="F123" s="1">
        <v>143.69999999999999</v>
      </c>
      <c r="G123" s="1">
        <v>140.6</v>
      </c>
      <c r="H123" s="1">
        <v>141.5</v>
      </c>
      <c r="I123" s="1">
        <v>122.9</v>
      </c>
      <c r="J123" s="1">
        <v>149.4</v>
      </c>
      <c r="K123" s="1">
        <v>142.4</v>
      </c>
      <c r="L123" s="1">
        <v>130.19999999999999</v>
      </c>
      <c r="M123" s="1">
        <v>117.9</v>
      </c>
      <c r="N123" s="1">
        <v>135.6</v>
      </c>
      <c r="O123" s="1">
        <v>130.5</v>
      </c>
      <c r="P123" s="1">
        <v>151.69999999999999</v>
      </c>
      <c r="Q123" s="1">
        <v>138.69999999999999</v>
      </c>
      <c r="R123" s="1">
        <v>153.30000000000001</v>
      </c>
      <c r="S123" s="1">
        <v>148.69999999999999</v>
      </c>
      <c r="T123" s="1">
        <v>142.4</v>
      </c>
      <c r="U123" s="1">
        <v>147.80000000000001</v>
      </c>
      <c r="V123" s="14">
        <f>VLOOKUP($D123,Notes!$B$2:$C$229,2,0)</f>
        <v>141.30000000000001</v>
      </c>
      <c r="W123" s="1">
        <v>142.4</v>
      </c>
      <c r="X123" s="1">
        <v>139.9</v>
      </c>
      <c r="Y123" s="1">
        <v>136.19999999999999</v>
      </c>
      <c r="Z123" s="1">
        <v>123.3</v>
      </c>
      <c r="AA123" s="1">
        <v>134.30000000000001</v>
      </c>
      <c r="AB123" s="1">
        <v>141.5</v>
      </c>
      <c r="AC123" s="1">
        <v>128.80000000000001</v>
      </c>
      <c r="AD123" s="1">
        <v>132.5</v>
      </c>
      <c r="AE123" s="1">
        <v>138.5</v>
      </c>
    </row>
    <row r="124" spans="1:31" x14ac:dyDescent="0.25">
      <c r="A124" s="1" t="s">
        <v>34</v>
      </c>
      <c r="B124" s="1">
        <v>2019</v>
      </c>
      <c r="C124" s="1" t="s">
        <v>41</v>
      </c>
      <c r="D124" s="1" t="s">
        <v>161</v>
      </c>
      <c r="E124" s="1">
        <v>140.1</v>
      </c>
      <c r="F124" s="1">
        <v>160.6</v>
      </c>
      <c r="G124" s="1">
        <v>138.5</v>
      </c>
      <c r="H124" s="1">
        <v>144.69999999999999</v>
      </c>
      <c r="I124" s="1">
        <v>122.9</v>
      </c>
      <c r="J124" s="1">
        <v>149.4</v>
      </c>
      <c r="K124" s="1">
        <v>167.4</v>
      </c>
      <c r="L124" s="1">
        <v>130.9</v>
      </c>
      <c r="M124" s="1">
        <v>112</v>
      </c>
      <c r="N124" s="1">
        <v>142.6</v>
      </c>
      <c r="O124" s="1">
        <v>134.9</v>
      </c>
      <c r="P124" s="1">
        <v>156.6</v>
      </c>
      <c r="Q124" s="1">
        <v>145.9</v>
      </c>
      <c r="R124" s="1">
        <v>165.8</v>
      </c>
      <c r="S124" s="1">
        <v>149.1</v>
      </c>
      <c r="T124" s="1">
        <v>140.6</v>
      </c>
      <c r="U124" s="1">
        <v>147.9</v>
      </c>
      <c r="V124" s="1">
        <v>151.6</v>
      </c>
      <c r="W124" s="1">
        <v>138.5</v>
      </c>
      <c r="X124" s="1">
        <v>144.5</v>
      </c>
      <c r="Y124" s="1">
        <v>148.5</v>
      </c>
      <c r="Z124" s="1">
        <v>125.8</v>
      </c>
      <c r="AA124" s="1">
        <v>140.9</v>
      </c>
      <c r="AB124" s="1">
        <v>154.9</v>
      </c>
      <c r="AC124" s="1">
        <v>138.4</v>
      </c>
      <c r="AD124" s="1">
        <v>140.19999999999999</v>
      </c>
      <c r="AE124" s="1">
        <v>145</v>
      </c>
    </row>
    <row r="125" spans="1:31" x14ac:dyDescent="0.25">
      <c r="A125" s="1" t="s">
        <v>33</v>
      </c>
      <c r="B125" s="1">
        <v>2019</v>
      </c>
      <c r="C125" s="1" t="s">
        <v>44</v>
      </c>
      <c r="D125" s="1" t="s">
        <v>164</v>
      </c>
      <c r="E125" s="1">
        <v>144.1</v>
      </c>
      <c r="F125" s="1">
        <v>162.4</v>
      </c>
      <c r="G125" s="1">
        <v>148.4</v>
      </c>
      <c r="H125" s="1">
        <v>145.9</v>
      </c>
      <c r="I125" s="1">
        <v>121.5</v>
      </c>
      <c r="J125" s="1">
        <v>148.80000000000001</v>
      </c>
      <c r="K125" s="1">
        <v>215.7</v>
      </c>
      <c r="L125" s="1">
        <v>134.6</v>
      </c>
      <c r="M125" s="1">
        <v>115</v>
      </c>
      <c r="N125" s="1">
        <v>146.30000000000001</v>
      </c>
      <c r="O125" s="1">
        <v>130.5</v>
      </c>
      <c r="P125" s="1">
        <v>157.19999999999999</v>
      </c>
      <c r="Q125" s="1">
        <v>153.6</v>
      </c>
      <c r="R125" s="1">
        <v>169.9</v>
      </c>
      <c r="S125" s="1">
        <v>146.30000000000001</v>
      </c>
      <c r="T125" s="1">
        <v>132.6</v>
      </c>
      <c r="U125" s="1">
        <v>144.19999999999999</v>
      </c>
      <c r="V125" s="1">
        <v>153.5</v>
      </c>
      <c r="W125" s="1">
        <v>132.19999999999999</v>
      </c>
      <c r="X125" s="1">
        <v>139.1</v>
      </c>
      <c r="Y125" s="1">
        <v>142.80000000000001</v>
      </c>
      <c r="Z125" s="1">
        <v>121.7</v>
      </c>
      <c r="AA125" s="1">
        <v>136.69999999999999</v>
      </c>
      <c r="AB125" s="1">
        <v>151.80000000000001</v>
      </c>
      <c r="AC125" s="1">
        <v>139.80000000000001</v>
      </c>
      <c r="AD125" s="1">
        <v>136.30000000000001</v>
      </c>
      <c r="AE125" s="1">
        <v>147</v>
      </c>
    </row>
    <row r="126" spans="1:31" hidden="1" x14ac:dyDescent="0.25">
      <c r="A126" s="1" t="s">
        <v>34</v>
      </c>
      <c r="B126" s="1">
        <v>2020</v>
      </c>
      <c r="C126" s="1" t="s">
        <v>38</v>
      </c>
      <c r="D126" s="1" t="s">
        <v>170</v>
      </c>
      <c r="E126" s="14">
        <v>149.14999999999998</v>
      </c>
      <c r="F126" s="14">
        <v>185.625</v>
      </c>
      <c r="G126" s="1">
        <v>451.5</v>
      </c>
      <c r="H126" s="14">
        <v>154.44999999999999</v>
      </c>
      <c r="I126" s="14">
        <v>135.69999999999999</v>
      </c>
      <c r="J126" s="14">
        <v>148.55000000000001</v>
      </c>
      <c r="K126" s="14">
        <v>162.55000000000001</v>
      </c>
      <c r="L126" s="14">
        <v>150.65</v>
      </c>
      <c r="M126" s="14">
        <v>117.25</v>
      </c>
      <c r="N126" s="14">
        <v>158.30000000000001</v>
      </c>
      <c r="O126" s="14">
        <v>138.10000000000002</v>
      </c>
      <c r="P126" s="14">
        <v>161.1</v>
      </c>
      <c r="Q126" s="14">
        <v>152.69999999999999</v>
      </c>
      <c r="R126" s="14">
        <v>181.75</v>
      </c>
      <c r="S126" s="14">
        <v>150.44999999999999</v>
      </c>
      <c r="T126" s="14">
        <v>139.80000000000001</v>
      </c>
      <c r="U126" s="14">
        <v>148.89999999999998</v>
      </c>
      <c r="V126" s="14">
        <v>155.14999999999998</v>
      </c>
      <c r="W126" s="14">
        <v>143</v>
      </c>
      <c r="X126" s="14">
        <v>149</v>
      </c>
      <c r="Y126" s="14">
        <v>152.55000000000001</v>
      </c>
      <c r="Z126" s="14">
        <v>130.97499999999999</v>
      </c>
      <c r="AA126" s="14">
        <v>144.75</v>
      </c>
      <c r="AB126" s="14">
        <v>154.44999999999999</v>
      </c>
      <c r="AC126" s="14">
        <v>150.17500000000001</v>
      </c>
      <c r="AD126" s="14">
        <v>143.67500000000001</v>
      </c>
      <c r="AE126" s="14">
        <v>150.42500000000001</v>
      </c>
    </row>
    <row r="127" spans="1:31" x14ac:dyDescent="0.25">
      <c r="A127" s="1" t="s">
        <v>34</v>
      </c>
      <c r="B127" s="1">
        <v>2020</v>
      </c>
      <c r="C127" s="1" t="s">
        <v>44</v>
      </c>
      <c r="D127" s="1" t="s">
        <v>176</v>
      </c>
      <c r="E127" s="1">
        <v>146.80000000000001</v>
      </c>
      <c r="F127" s="1">
        <v>191</v>
      </c>
      <c r="G127" s="1">
        <v>173.6</v>
      </c>
      <c r="H127" s="1">
        <v>153.80000000000001</v>
      </c>
      <c r="I127" s="1">
        <v>142.69999999999999</v>
      </c>
      <c r="J127" s="1">
        <v>148.4</v>
      </c>
      <c r="K127" s="1">
        <v>230</v>
      </c>
      <c r="L127" s="1">
        <v>156.80000000000001</v>
      </c>
      <c r="M127" s="1">
        <v>115.7</v>
      </c>
      <c r="N127" s="1">
        <v>161.80000000000001</v>
      </c>
      <c r="O127" s="1">
        <v>146.5</v>
      </c>
      <c r="P127" s="1">
        <v>163.80000000000001</v>
      </c>
      <c r="Q127" s="1">
        <v>164.7</v>
      </c>
      <c r="R127" s="1">
        <v>184.8</v>
      </c>
      <c r="S127" s="1">
        <v>154.30000000000001</v>
      </c>
      <c r="T127" s="1">
        <v>144.9</v>
      </c>
      <c r="U127" s="1">
        <v>152.80000000000001</v>
      </c>
      <c r="V127" s="1">
        <v>158</v>
      </c>
      <c r="W127" s="1">
        <v>143.6</v>
      </c>
      <c r="X127" s="1">
        <v>149.19999999999999</v>
      </c>
      <c r="Y127" s="1">
        <v>157.19999999999999</v>
      </c>
      <c r="Z127" s="1">
        <v>140.4</v>
      </c>
      <c r="AA127" s="1">
        <v>148.4</v>
      </c>
      <c r="AB127" s="1">
        <v>158.6</v>
      </c>
      <c r="AC127" s="1">
        <v>156.9</v>
      </c>
      <c r="AD127" s="1">
        <v>150.69999999999999</v>
      </c>
      <c r="AE127" s="1">
        <v>158.4</v>
      </c>
    </row>
    <row r="128" spans="1:31" x14ac:dyDescent="0.25">
      <c r="A128" s="1" t="s">
        <v>30</v>
      </c>
      <c r="B128" s="1">
        <v>2017</v>
      </c>
      <c r="C128" s="1" t="s">
        <v>41</v>
      </c>
      <c r="D128" s="1" t="s">
        <v>138</v>
      </c>
      <c r="E128" s="1">
        <v>134.80000000000001</v>
      </c>
      <c r="F128" s="1">
        <v>143.1</v>
      </c>
      <c r="G128" s="1">
        <v>130</v>
      </c>
      <c r="H128" s="1">
        <v>139.4</v>
      </c>
      <c r="I128" s="1">
        <v>120.5</v>
      </c>
      <c r="J128" s="1">
        <v>148</v>
      </c>
      <c r="K128" s="1">
        <v>162.9</v>
      </c>
      <c r="L128" s="1">
        <v>137.4</v>
      </c>
      <c r="M128" s="1">
        <v>120.8</v>
      </c>
      <c r="N128" s="1">
        <v>134.69999999999999</v>
      </c>
      <c r="O128" s="1">
        <v>131.6</v>
      </c>
      <c r="P128" s="1">
        <v>148.69999999999999</v>
      </c>
      <c r="Q128" s="1">
        <v>140.6</v>
      </c>
      <c r="R128" s="1">
        <v>149</v>
      </c>
      <c r="S128" s="1">
        <v>145.30000000000001</v>
      </c>
      <c r="T128" s="1">
        <v>139.19999999999999</v>
      </c>
      <c r="U128" s="1">
        <v>144.5</v>
      </c>
      <c r="V128" s="14">
        <f>VLOOKUP($D128,Notes!$B$2:$C$229,2,0)</f>
        <v>134.4</v>
      </c>
      <c r="W128" s="1">
        <v>136.4</v>
      </c>
      <c r="X128" s="1">
        <v>137.30000000000001</v>
      </c>
      <c r="Y128" s="1">
        <v>133</v>
      </c>
      <c r="Z128" s="1">
        <v>120.3</v>
      </c>
      <c r="AA128" s="1">
        <v>131.5</v>
      </c>
      <c r="AB128" s="1">
        <v>140.19999999999999</v>
      </c>
      <c r="AC128" s="1">
        <v>125.4</v>
      </c>
      <c r="AD128" s="1">
        <v>129.69999999999999</v>
      </c>
      <c r="AE128" s="1">
        <v>137.80000000000001</v>
      </c>
    </row>
    <row r="129" spans="1:31" x14ac:dyDescent="0.25">
      <c r="A129" s="1" t="s">
        <v>34</v>
      </c>
      <c r="B129" s="1">
        <v>2019</v>
      </c>
      <c r="C129" s="1" t="s">
        <v>43</v>
      </c>
      <c r="D129" s="1" t="s">
        <v>163</v>
      </c>
      <c r="E129" s="1">
        <v>141.80000000000001</v>
      </c>
      <c r="F129" s="1">
        <v>161</v>
      </c>
      <c r="G129" s="1">
        <v>142.6</v>
      </c>
      <c r="H129" s="1">
        <v>146.19999999999999</v>
      </c>
      <c r="I129" s="1">
        <v>123.9</v>
      </c>
      <c r="J129" s="1">
        <v>148</v>
      </c>
      <c r="K129" s="1">
        <v>188.4</v>
      </c>
      <c r="L129" s="1">
        <v>132.5</v>
      </c>
      <c r="M129" s="1">
        <v>114</v>
      </c>
      <c r="N129" s="1">
        <v>145.4</v>
      </c>
      <c r="O129" s="1">
        <v>135.1</v>
      </c>
      <c r="P129" s="1">
        <v>157.1</v>
      </c>
      <c r="Q129" s="1">
        <v>149.6</v>
      </c>
      <c r="R129" s="1">
        <v>167.1</v>
      </c>
      <c r="S129" s="1">
        <v>149.4</v>
      </c>
      <c r="T129" s="1">
        <v>140.80000000000001</v>
      </c>
      <c r="U129" s="1">
        <v>148.19999999999999</v>
      </c>
      <c r="V129" s="1">
        <v>153</v>
      </c>
      <c r="W129" s="1">
        <v>140.6</v>
      </c>
      <c r="X129" s="1">
        <v>145</v>
      </c>
      <c r="Y129" s="1">
        <v>149.4</v>
      </c>
      <c r="Z129" s="1">
        <v>126.3</v>
      </c>
      <c r="AA129" s="1">
        <v>141.69999999999999</v>
      </c>
      <c r="AB129" s="1">
        <v>155.4</v>
      </c>
      <c r="AC129" s="1">
        <v>140</v>
      </c>
      <c r="AD129" s="1">
        <v>141</v>
      </c>
      <c r="AE129" s="1">
        <v>147.19999999999999</v>
      </c>
    </row>
    <row r="130" spans="1:31" x14ac:dyDescent="0.25">
      <c r="A130" s="1" t="s">
        <v>30</v>
      </c>
      <c r="B130" s="1">
        <v>2018</v>
      </c>
      <c r="C130" s="1" t="s">
        <v>31</v>
      </c>
      <c r="D130" s="1" t="s">
        <v>143</v>
      </c>
      <c r="E130" s="1">
        <v>136.6</v>
      </c>
      <c r="F130" s="1">
        <v>144.4</v>
      </c>
      <c r="G130" s="1">
        <v>143.80000000000001</v>
      </c>
      <c r="H130" s="1">
        <v>142</v>
      </c>
      <c r="I130" s="1">
        <v>123.2</v>
      </c>
      <c r="J130" s="1">
        <v>147.9</v>
      </c>
      <c r="K130" s="1">
        <v>152.1</v>
      </c>
      <c r="L130" s="1">
        <v>131.80000000000001</v>
      </c>
      <c r="M130" s="1">
        <v>119.5</v>
      </c>
      <c r="N130" s="1">
        <v>136</v>
      </c>
      <c r="O130" s="1">
        <v>131.19999999999999</v>
      </c>
      <c r="P130" s="1">
        <v>151.80000000000001</v>
      </c>
      <c r="Q130" s="1">
        <v>140.4</v>
      </c>
      <c r="R130" s="1">
        <v>153.6</v>
      </c>
      <c r="S130" s="1">
        <v>148.30000000000001</v>
      </c>
      <c r="T130" s="1">
        <v>142.30000000000001</v>
      </c>
      <c r="U130" s="1">
        <v>147.5</v>
      </c>
      <c r="V130" s="14">
        <f>VLOOKUP($D130,Notes!$B$2:$C$229,2,0)</f>
        <v>140.4</v>
      </c>
      <c r="W130" s="1">
        <v>142.30000000000001</v>
      </c>
      <c r="X130" s="1">
        <v>139.80000000000001</v>
      </c>
      <c r="Y130" s="1">
        <v>136</v>
      </c>
      <c r="Z130" s="1">
        <v>122.7</v>
      </c>
      <c r="AA130" s="1">
        <v>134.30000000000001</v>
      </c>
      <c r="AB130" s="1">
        <v>141.6</v>
      </c>
      <c r="AC130" s="1">
        <v>128.6</v>
      </c>
      <c r="AD130" s="1">
        <v>132.30000000000001</v>
      </c>
      <c r="AE130" s="1">
        <v>139.30000000000001</v>
      </c>
    </row>
    <row r="131" spans="1:31" x14ac:dyDescent="0.25">
      <c r="A131" s="1" t="s">
        <v>30</v>
      </c>
      <c r="B131" s="1">
        <v>2017</v>
      </c>
      <c r="C131" s="1" t="s">
        <v>42</v>
      </c>
      <c r="D131" s="1" t="s">
        <v>139</v>
      </c>
      <c r="E131" s="1">
        <v>135.19999999999999</v>
      </c>
      <c r="F131" s="1">
        <v>142</v>
      </c>
      <c r="G131" s="1">
        <v>130.5</v>
      </c>
      <c r="H131" s="1">
        <v>140.19999999999999</v>
      </c>
      <c r="I131" s="1">
        <v>120.7</v>
      </c>
      <c r="J131" s="1">
        <v>147.80000000000001</v>
      </c>
      <c r="K131" s="1">
        <v>154.5</v>
      </c>
      <c r="L131" s="1">
        <v>137.1</v>
      </c>
      <c r="M131" s="1">
        <v>121</v>
      </c>
      <c r="N131" s="1">
        <v>134.69999999999999</v>
      </c>
      <c r="O131" s="1">
        <v>131.69999999999999</v>
      </c>
      <c r="P131" s="1">
        <v>149.30000000000001</v>
      </c>
      <c r="Q131" s="1">
        <v>139.6</v>
      </c>
      <c r="R131" s="1">
        <v>149.80000000000001</v>
      </c>
      <c r="S131" s="1">
        <v>146.1</v>
      </c>
      <c r="T131" s="1">
        <v>139.69999999999999</v>
      </c>
      <c r="U131" s="1">
        <v>145.19999999999999</v>
      </c>
      <c r="V131" s="14">
        <f>VLOOKUP($D131,Notes!$B$2:$C$229,2,0)</f>
        <v>135.69999999999999</v>
      </c>
      <c r="W131" s="1">
        <v>137.4</v>
      </c>
      <c r="X131" s="1">
        <v>137.9</v>
      </c>
      <c r="Y131" s="1">
        <v>133.4</v>
      </c>
      <c r="Z131" s="1">
        <v>121.2</v>
      </c>
      <c r="AA131" s="1">
        <v>132.30000000000001</v>
      </c>
      <c r="AB131" s="1">
        <v>139.6</v>
      </c>
      <c r="AC131" s="1">
        <v>126.7</v>
      </c>
      <c r="AD131" s="1">
        <v>130.30000000000001</v>
      </c>
      <c r="AE131" s="1">
        <v>137.6</v>
      </c>
    </row>
    <row r="132" spans="1:31" x14ac:dyDescent="0.25">
      <c r="A132" s="1" t="s">
        <v>30</v>
      </c>
      <c r="B132" s="1">
        <v>2021</v>
      </c>
      <c r="C132" s="1" t="s">
        <v>35</v>
      </c>
      <c r="D132" s="1" t="s">
        <v>179</v>
      </c>
      <c r="E132" s="1">
        <v>142.80000000000001</v>
      </c>
      <c r="F132" s="1">
        <v>184</v>
      </c>
      <c r="G132" s="1">
        <v>168</v>
      </c>
      <c r="H132" s="1">
        <v>154.4</v>
      </c>
      <c r="I132" s="1">
        <v>163</v>
      </c>
      <c r="J132" s="1">
        <v>147.80000000000001</v>
      </c>
      <c r="K132" s="1">
        <v>149.69999999999999</v>
      </c>
      <c r="L132" s="1">
        <v>158.30000000000001</v>
      </c>
      <c r="M132" s="1">
        <v>111.8</v>
      </c>
      <c r="N132" s="1">
        <v>165</v>
      </c>
      <c r="O132" s="1">
        <v>160</v>
      </c>
      <c r="P132" s="1">
        <v>165.8</v>
      </c>
      <c r="Q132" s="1">
        <v>154.69999999999999</v>
      </c>
      <c r="R132" s="1">
        <v>186.5</v>
      </c>
      <c r="S132" s="1">
        <v>159.1</v>
      </c>
      <c r="T132" s="1">
        <v>153.9</v>
      </c>
      <c r="U132" s="1">
        <v>158.4</v>
      </c>
      <c r="V132" s="14">
        <f>VLOOKUP($D132,Notes!$B$2:$C$229,2,0)</f>
        <v>159.80000000000001</v>
      </c>
      <c r="W132" s="1">
        <v>154.4</v>
      </c>
      <c r="X132" s="1">
        <v>154.80000000000001</v>
      </c>
      <c r="Y132" s="1">
        <v>164.3</v>
      </c>
      <c r="Z132" s="1">
        <v>150.19999999999999</v>
      </c>
      <c r="AA132" s="1">
        <v>157</v>
      </c>
      <c r="AB132" s="1">
        <v>163.6</v>
      </c>
      <c r="AC132" s="1">
        <v>155.19999999999999</v>
      </c>
      <c r="AD132" s="1">
        <v>157.19999999999999</v>
      </c>
      <c r="AE132" s="1">
        <v>156.69999999999999</v>
      </c>
    </row>
    <row r="133" spans="1:31" x14ac:dyDescent="0.25">
      <c r="A133" s="1" t="s">
        <v>34</v>
      </c>
      <c r="B133" s="1">
        <v>2020</v>
      </c>
      <c r="C133" s="1" t="s">
        <v>45</v>
      </c>
      <c r="D133" s="1" t="s">
        <v>177</v>
      </c>
      <c r="E133" s="1">
        <v>146</v>
      </c>
      <c r="F133" s="1">
        <v>191</v>
      </c>
      <c r="G133" s="1">
        <v>175.3</v>
      </c>
      <c r="H133" s="1">
        <v>154.1</v>
      </c>
      <c r="I133" s="1">
        <v>146.6</v>
      </c>
      <c r="J133" s="1">
        <v>147.69999999999999</v>
      </c>
      <c r="K133" s="1">
        <v>230.5</v>
      </c>
      <c r="L133" s="1">
        <v>160.19999999999999</v>
      </c>
      <c r="M133" s="1">
        <v>115.3</v>
      </c>
      <c r="N133" s="1">
        <v>163</v>
      </c>
      <c r="O133" s="1">
        <v>149.19999999999999</v>
      </c>
      <c r="P133" s="1">
        <v>164.8</v>
      </c>
      <c r="Q133" s="1">
        <v>165.4</v>
      </c>
      <c r="R133" s="1">
        <v>185.4</v>
      </c>
      <c r="S133" s="1">
        <v>155</v>
      </c>
      <c r="T133" s="1">
        <v>145.4</v>
      </c>
      <c r="U133" s="1">
        <v>153.6</v>
      </c>
      <c r="V133" s="1">
        <v>158.4</v>
      </c>
      <c r="W133" s="1">
        <v>144.6</v>
      </c>
      <c r="X133" s="1">
        <v>149.69999999999999</v>
      </c>
      <c r="Y133" s="1">
        <v>158.30000000000001</v>
      </c>
      <c r="Z133" s="1">
        <v>140.69999999999999</v>
      </c>
      <c r="AA133" s="1">
        <v>148.5</v>
      </c>
      <c r="AB133" s="1">
        <v>159.4</v>
      </c>
      <c r="AC133" s="1">
        <v>157.1</v>
      </c>
      <c r="AD133" s="1">
        <v>151.19999999999999</v>
      </c>
      <c r="AE133" s="1">
        <v>158.9</v>
      </c>
    </row>
    <row r="134" spans="1:31" x14ac:dyDescent="0.25">
      <c r="A134" s="1" t="s">
        <v>34</v>
      </c>
      <c r="B134" s="1">
        <v>2019</v>
      </c>
      <c r="C134" s="1" t="s">
        <v>44</v>
      </c>
      <c r="D134" s="1" t="s">
        <v>164</v>
      </c>
      <c r="E134" s="1">
        <v>142.5</v>
      </c>
      <c r="F134" s="1">
        <v>163.19999999999999</v>
      </c>
      <c r="G134" s="1">
        <v>145.6</v>
      </c>
      <c r="H134" s="1">
        <v>146.69999999999999</v>
      </c>
      <c r="I134" s="1">
        <v>124.3</v>
      </c>
      <c r="J134" s="1">
        <v>147.4</v>
      </c>
      <c r="K134" s="1">
        <v>199.6</v>
      </c>
      <c r="L134" s="1">
        <v>135.69999999999999</v>
      </c>
      <c r="M134" s="1">
        <v>114.2</v>
      </c>
      <c r="N134" s="1">
        <v>147</v>
      </c>
      <c r="O134" s="1">
        <v>135.30000000000001</v>
      </c>
      <c r="P134" s="1">
        <v>157.5</v>
      </c>
      <c r="Q134" s="1">
        <v>151.9</v>
      </c>
      <c r="R134" s="1">
        <v>167.9</v>
      </c>
      <c r="S134" s="1">
        <v>149.9</v>
      </c>
      <c r="T134" s="1">
        <v>141</v>
      </c>
      <c r="U134" s="1">
        <v>148.6</v>
      </c>
      <c r="V134" s="1">
        <v>153.5</v>
      </c>
      <c r="W134" s="1">
        <v>142.30000000000001</v>
      </c>
      <c r="X134" s="1">
        <v>145.30000000000001</v>
      </c>
      <c r="Y134" s="1">
        <v>149.9</v>
      </c>
      <c r="Z134" s="1">
        <v>126.6</v>
      </c>
      <c r="AA134" s="1">
        <v>142.1</v>
      </c>
      <c r="AB134" s="1">
        <v>155.5</v>
      </c>
      <c r="AC134" s="1">
        <v>140.30000000000001</v>
      </c>
      <c r="AD134" s="1">
        <v>141.30000000000001</v>
      </c>
      <c r="AE134" s="1">
        <v>148.6</v>
      </c>
    </row>
    <row r="135" spans="1:31" x14ac:dyDescent="0.25">
      <c r="A135" s="1" t="s">
        <v>30</v>
      </c>
      <c r="B135" s="1">
        <v>2017</v>
      </c>
      <c r="C135" s="1" t="s">
        <v>44</v>
      </c>
      <c r="D135" s="1" t="s">
        <v>141</v>
      </c>
      <c r="E135" s="1">
        <v>136.30000000000001</v>
      </c>
      <c r="F135" s="1">
        <v>142.5</v>
      </c>
      <c r="G135" s="1">
        <v>140.5</v>
      </c>
      <c r="H135" s="1">
        <v>141.5</v>
      </c>
      <c r="I135" s="1">
        <v>121.6</v>
      </c>
      <c r="J135" s="1">
        <v>147.30000000000001</v>
      </c>
      <c r="K135" s="1">
        <v>168</v>
      </c>
      <c r="L135" s="1">
        <v>135.80000000000001</v>
      </c>
      <c r="M135" s="1">
        <v>122.5</v>
      </c>
      <c r="N135" s="1">
        <v>136</v>
      </c>
      <c r="O135" s="1">
        <v>131.9</v>
      </c>
      <c r="P135" s="1">
        <v>151.4</v>
      </c>
      <c r="Q135" s="1">
        <v>142.4</v>
      </c>
      <c r="R135" s="1">
        <v>152.1</v>
      </c>
      <c r="S135" s="1">
        <v>148.19999999999999</v>
      </c>
      <c r="T135" s="1">
        <v>141.5</v>
      </c>
      <c r="U135" s="1">
        <v>147.30000000000001</v>
      </c>
      <c r="V135" s="14">
        <f>VLOOKUP($D135,Notes!$B$2:$C$229,2,0)</f>
        <v>138.6</v>
      </c>
      <c r="W135" s="1">
        <v>141.1</v>
      </c>
      <c r="X135" s="1">
        <v>139.4</v>
      </c>
      <c r="Y135" s="1">
        <v>135.80000000000001</v>
      </c>
      <c r="Z135" s="1">
        <v>121.6</v>
      </c>
      <c r="AA135" s="1">
        <v>133.69999999999999</v>
      </c>
      <c r="AB135" s="1">
        <v>141.5</v>
      </c>
      <c r="AC135" s="1">
        <v>128.1</v>
      </c>
      <c r="AD135" s="1">
        <v>131.69999999999999</v>
      </c>
      <c r="AE135" s="1">
        <v>140</v>
      </c>
    </row>
    <row r="136" spans="1:31" x14ac:dyDescent="0.25">
      <c r="A136" s="1" t="s">
        <v>30</v>
      </c>
      <c r="B136" s="1">
        <v>2020</v>
      </c>
      <c r="C136" s="1" t="s">
        <v>37</v>
      </c>
      <c r="D136" s="1" t="s">
        <v>169</v>
      </c>
      <c r="E136" s="1">
        <v>147.19999999999999</v>
      </c>
      <c r="F136" s="14">
        <v>178.55</v>
      </c>
      <c r="G136" s="1">
        <v>146.9</v>
      </c>
      <c r="H136" s="1">
        <v>155.6</v>
      </c>
      <c r="I136" s="1">
        <v>137.1</v>
      </c>
      <c r="J136" s="1">
        <v>147.30000000000001</v>
      </c>
      <c r="K136" s="1">
        <v>162.69999999999999</v>
      </c>
      <c r="L136" s="1">
        <v>150.19999999999999</v>
      </c>
      <c r="M136" s="1">
        <v>119.8</v>
      </c>
      <c r="N136" s="1">
        <v>158.69999999999999</v>
      </c>
      <c r="O136" s="1">
        <v>139.19999999999999</v>
      </c>
      <c r="P136" s="14">
        <v>160.9</v>
      </c>
      <c r="Q136" s="1">
        <v>150.1</v>
      </c>
      <c r="R136" s="14">
        <v>176.45</v>
      </c>
      <c r="S136" s="14">
        <v>154.05000000000001</v>
      </c>
      <c r="T136" s="14">
        <v>148.80000000000001</v>
      </c>
      <c r="U136" s="14">
        <v>153.30000000000001</v>
      </c>
      <c r="V136" s="14">
        <f>VLOOKUP($D136,Notes!$B$2:$C$229,2,0)</f>
        <v>155.6</v>
      </c>
      <c r="W136" s="1">
        <v>148.4</v>
      </c>
      <c r="X136" s="14">
        <v>151.6</v>
      </c>
      <c r="Y136" s="1">
        <v>154.30000000000001</v>
      </c>
      <c r="Z136" s="14">
        <v>138.60000000000002</v>
      </c>
      <c r="AA136" s="14">
        <v>152.19999999999999</v>
      </c>
      <c r="AB136" s="14">
        <v>161.5</v>
      </c>
      <c r="AC136" s="14">
        <v>148.14999999999998</v>
      </c>
      <c r="AD136" s="14">
        <v>150.14999999999998</v>
      </c>
      <c r="AE136" s="14">
        <v>151.25</v>
      </c>
    </row>
    <row r="137" spans="1:31" x14ac:dyDescent="0.25">
      <c r="A137" s="1" t="s">
        <v>30</v>
      </c>
      <c r="B137" s="1">
        <v>2017</v>
      </c>
      <c r="C137" s="1" t="s">
        <v>45</v>
      </c>
      <c r="D137" s="1" t="s">
        <v>142</v>
      </c>
      <c r="E137" s="1">
        <v>136.4</v>
      </c>
      <c r="F137" s="1">
        <v>143.69999999999999</v>
      </c>
      <c r="G137" s="1">
        <v>144.80000000000001</v>
      </c>
      <c r="H137" s="1">
        <v>141.9</v>
      </c>
      <c r="I137" s="1">
        <v>123.1</v>
      </c>
      <c r="J137" s="1">
        <v>147.19999999999999</v>
      </c>
      <c r="K137" s="1">
        <v>161</v>
      </c>
      <c r="L137" s="1">
        <v>133.80000000000001</v>
      </c>
      <c r="M137" s="1">
        <v>121.9</v>
      </c>
      <c r="N137" s="1">
        <v>135.80000000000001</v>
      </c>
      <c r="O137" s="1">
        <v>131.1</v>
      </c>
      <c r="P137" s="1">
        <v>151.4</v>
      </c>
      <c r="Q137" s="1">
        <v>141.5</v>
      </c>
      <c r="R137" s="1">
        <v>153.19999999999999</v>
      </c>
      <c r="S137" s="1">
        <v>148</v>
      </c>
      <c r="T137" s="1">
        <v>141.9</v>
      </c>
      <c r="U137" s="1">
        <v>147.19999999999999</v>
      </c>
      <c r="V137" s="14">
        <f>VLOOKUP($D137,Notes!$B$2:$C$229,2,0)</f>
        <v>139.1</v>
      </c>
      <c r="W137" s="1">
        <v>142.6</v>
      </c>
      <c r="X137" s="1">
        <v>139.5</v>
      </c>
      <c r="Y137" s="1">
        <v>136.1</v>
      </c>
      <c r="Z137" s="1">
        <v>122</v>
      </c>
      <c r="AA137" s="1">
        <v>133.4</v>
      </c>
      <c r="AB137" s="1">
        <v>141.1</v>
      </c>
      <c r="AC137" s="1">
        <v>127.8</v>
      </c>
      <c r="AD137" s="1">
        <v>131.9</v>
      </c>
      <c r="AE137" s="1">
        <v>139.80000000000001</v>
      </c>
    </row>
    <row r="138" spans="1:31" x14ac:dyDescent="0.25">
      <c r="A138" s="1" t="s">
        <v>33</v>
      </c>
      <c r="B138" s="1">
        <v>2019</v>
      </c>
      <c r="C138" s="1" t="s">
        <v>45</v>
      </c>
      <c r="D138" s="1" t="s">
        <v>165</v>
      </c>
      <c r="E138" s="1">
        <v>144.9</v>
      </c>
      <c r="F138" s="1">
        <v>164.5</v>
      </c>
      <c r="G138" s="1">
        <v>153.69999999999999</v>
      </c>
      <c r="H138" s="1">
        <v>147.5</v>
      </c>
      <c r="I138" s="1">
        <v>122.7</v>
      </c>
      <c r="J138" s="1">
        <v>147.19999999999999</v>
      </c>
      <c r="K138" s="1">
        <v>231.5</v>
      </c>
      <c r="L138" s="1">
        <v>137.19999999999999</v>
      </c>
      <c r="M138" s="1">
        <v>114.7</v>
      </c>
      <c r="N138" s="1">
        <v>148</v>
      </c>
      <c r="O138" s="1">
        <v>130.80000000000001</v>
      </c>
      <c r="P138" s="1">
        <v>157.69999999999999</v>
      </c>
      <c r="Q138" s="1">
        <v>156.30000000000001</v>
      </c>
      <c r="R138" s="1">
        <v>170.4</v>
      </c>
      <c r="S138" s="1">
        <v>146.80000000000001</v>
      </c>
      <c r="T138" s="1">
        <v>132.80000000000001</v>
      </c>
      <c r="U138" s="1">
        <v>144.6</v>
      </c>
      <c r="V138" s="1">
        <v>152.80000000000001</v>
      </c>
      <c r="W138" s="1">
        <v>133.6</v>
      </c>
      <c r="X138" s="1">
        <v>139.80000000000001</v>
      </c>
      <c r="Y138" s="1">
        <v>143.19999999999999</v>
      </c>
      <c r="Z138" s="1">
        <v>125.2</v>
      </c>
      <c r="AA138" s="1">
        <v>136.80000000000001</v>
      </c>
      <c r="AB138" s="1">
        <v>151.9</v>
      </c>
      <c r="AC138" s="1">
        <v>140.19999999999999</v>
      </c>
      <c r="AD138" s="1">
        <v>137.69999999999999</v>
      </c>
      <c r="AE138" s="1">
        <v>148.30000000000001</v>
      </c>
    </row>
    <row r="139" spans="1:31" x14ac:dyDescent="0.25">
      <c r="A139" s="1" t="s">
        <v>34</v>
      </c>
      <c r="B139" s="1">
        <v>2020</v>
      </c>
      <c r="C139" s="1" t="s">
        <v>39</v>
      </c>
      <c r="D139" s="1" t="s">
        <v>171</v>
      </c>
      <c r="E139" s="1">
        <v>149.6</v>
      </c>
      <c r="F139" s="1">
        <v>192.7</v>
      </c>
      <c r="G139" s="1">
        <v>151.4</v>
      </c>
      <c r="H139" s="1">
        <v>153.30000000000001</v>
      </c>
      <c r="I139" s="1">
        <v>136.30000000000001</v>
      </c>
      <c r="J139" s="1">
        <v>147.19999999999999</v>
      </c>
      <c r="K139" s="1">
        <v>156.5</v>
      </c>
      <c r="L139" s="1">
        <v>150.9</v>
      </c>
      <c r="M139" s="1">
        <v>114.2</v>
      </c>
      <c r="N139" s="1">
        <v>159.5</v>
      </c>
      <c r="O139" s="1">
        <v>139.4</v>
      </c>
      <c r="P139" s="1">
        <v>161.80000000000001</v>
      </c>
      <c r="Q139" s="1">
        <v>154</v>
      </c>
      <c r="R139" s="1">
        <v>183.5</v>
      </c>
      <c r="S139" s="1">
        <v>152.5</v>
      </c>
      <c r="T139" s="1">
        <v>144.4</v>
      </c>
      <c r="U139" s="1">
        <v>151.4</v>
      </c>
      <c r="V139" s="1">
        <v>154.69999999999999</v>
      </c>
      <c r="W139" s="1">
        <v>141.9</v>
      </c>
      <c r="X139" s="1">
        <v>146.4</v>
      </c>
      <c r="Y139" s="1">
        <v>154.4</v>
      </c>
      <c r="Z139" s="1">
        <v>135</v>
      </c>
      <c r="AA139" s="1">
        <v>148.30000000000001</v>
      </c>
      <c r="AB139" s="1">
        <v>156.4</v>
      </c>
      <c r="AC139" s="1">
        <v>151.6</v>
      </c>
      <c r="AD139" s="1">
        <v>147</v>
      </c>
      <c r="AE139" s="1">
        <v>151.80000000000001</v>
      </c>
    </row>
    <row r="140" spans="1:31" x14ac:dyDescent="0.25">
      <c r="A140" s="1" t="s">
        <v>34</v>
      </c>
      <c r="B140" s="1">
        <v>2020</v>
      </c>
      <c r="C140" s="1" t="s">
        <v>40</v>
      </c>
      <c r="D140" s="1" t="s">
        <v>172</v>
      </c>
      <c r="E140" s="1">
        <v>149.6</v>
      </c>
      <c r="F140" s="1">
        <v>192.7</v>
      </c>
      <c r="G140" s="1">
        <v>151.4</v>
      </c>
      <c r="H140" s="1">
        <v>153.30000000000001</v>
      </c>
      <c r="I140" s="1">
        <v>136.30000000000001</v>
      </c>
      <c r="J140" s="1">
        <v>147.19999999999999</v>
      </c>
      <c r="K140" s="1">
        <v>156.5</v>
      </c>
      <c r="L140" s="1">
        <v>150.9</v>
      </c>
      <c r="M140" s="1">
        <v>114.2</v>
      </c>
      <c r="N140" s="1">
        <v>159.5</v>
      </c>
      <c r="O140" s="1">
        <v>139.4</v>
      </c>
      <c r="P140" s="1">
        <v>161.80000000000001</v>
      </c>
      <c r="Q140" s="1">
        <v>154</v>
      </c>
      <c r="R140" s="1">
        <v>183.5</v>
      </c>
      <c r="S140" s="1">
        <v>152.5</v>
      </c>
      <c r="T140" s="1">
        <v>144.4</v>
      </c>
      <c r="U140" s="1">
        <v>151.4</v>
      </c>
      <c r="V140" s="1">
        <v>154.69999999999999</v>
      </c>
      <c r="W140" s="1">
        <v>141.9</v>
      </c>
      <c r="X140" s="1">
        <v>146.4</v>
      </c>
      <c r="Y140" s="1">
        <v>154.4</v>
      </c>
      <c r="Z140" s="1">
        <v>135</v>
      </c>
      <c r="AA140" s="1">
        <v>148.30000000000001</v>
      </c>
      <c r="AB140" s="1">
        <v>156.4</v>
      </c>
      <c r="AC140" s="1">
        <v>151.6</v>
      </c>
      <c r="AD140" s="1">
        <v>147</v>
      </c>
      <c r="AE140" s="1">
        <v>151.80000000000001</v>
      </c>
    </row>
    <row r="141" spans="1:31" x14ac:dyDescent="0.25">
      <c r="A141" s="1" t="s">
        <v>30</v>
      </c>
      <c r="B141" s="1">
        <v>2020</v>
      </c>
      <c r="C141" s="1" t="s">
        <v>43</v>
      </c>
      <c r="D141" s="1" t="s">
        <v>175</v>
      </c>
      <c r="E141" s="1">
        <v>146</v>
      </c>
      <c r="F141" s="1">
        <v>186.3</v>
      </c>
      <c r="G141" s="1">
        <v>159.19999999999999</v>
      </c>
      <c r="H141" s="1">
        <v>153.6</v>
      </c>
      <c r="I141" s="1">
        <v>142.6</v>
      </c>
      <c r="J141" s="1">
        <v>147.19999999999999</v>
      </c>
      <c r="K141" s="1">
        <v>200.6</v>
      </c>
      <c r="L141" s="1">
        <v>150.30000000000001</v>
      </c>
      <c r="M141" s="1">
        <v>115.3</v>
      </c>
      <c r="N141" s="1">
        <v>160.9</v>
      </c>
      <c r="O141" s="1">
        <v>147.4</v>
      </c>
      <c r="P141" s="1">
        <v>161.9</v>
      </c>
      <c r="Q141" s="1">
        <v>159.6</v>
      </c>
      <c r="R141" s="1">
        <v>182.7</v>
      </c>
      <c r="S141" s="1">
        <v>155.69999999999999</v>
      </c>
      <c r="T141" s="1">
        <v>150.6</v>
      </c>
      <c r="U141" s="1">
        <v>155</v>
      </c>
      <c r="V141" s="14">
        <f>VLOOKUP($D141,Notes!$B$2:$C$229,2,0)</f>
        <v>156.5</v>
      </c>
      <c r="W141" s="1">
        <v>146.80000000000001</v>
      </c>
      <c r="X141" s="1">
        <v>152</v>
      </c>
      <c r="Y141" s="1">
        <v>159.5</v>
      </c>
      <c r="Z141" s="1">
        <v>146.4</v>
      </c>
      <c r="AA141" s="1">
        <v>152.4</v>
      </c>
      <c r="AB141" s="1">
        <v>162.5</v>
      </c>
      <c r="AC141" s="1">
        <v>156.19999999999999</v>
      </c>
      <c r="AD141" s="1">
        <v>154.30000000000001</v>
      </c>
      <c r="AE141" s="1">
        <v>157.5</v>
      </c>
    </row>
    <row r="142" spans="1:31" x14ac:dyDescent="0.25">
      <c r="A142" s="1" t="s">
        <v>30</v>
      </c>
      <c r="B142" s="1">
        <v>2020</v>
      </c>
      <c r="C142" s="1" t="s">
        <v>42</v>
      </c>
      <c r="D142" s="1" t="s">
        <v>174</v>
      </c>
      <c r="E142" s="1">
        <v>146.9</v>
      </c>
      <c r="F142" s="1">
        <v>183.9</v>
      </c>
      <c r="G142" s="1">
        <v>149.5</v>
      </c>
      <c r="H142" s="1">
        <v>153.4</v>
      </c>
      <c r="I142" s="1">
        <v>140.4</v>
      </c>
      <c r="J142" s="1">
        <v>147</v>
      </c>
      <c r="K142" s="1">
        <v>178.8</v>
      </c>
      <c r="L142" s="1">
        <v>149.30000000000001</v>
      </c>
      <c r="M142" s="1">
        <v>115.1</v>
      </c>
      <c r="N142" s="1">
        <v>160</v>
      </c>
      <c r="O142" s="1">
        <v>145.4</v>
      </c>
      <c r="P142" s="1">
        <v>161.6</v>
      </c>
      <c r="Q142" s="1">
        <v>156.1</v>
      </c>
      <c r="R142" s="1">
        <v>182.9</v>
      </c>
      <c r="S142" s="1">
        <v>155.4</v>
      </c>
      <c r="T142" s="1">
        <v>149.9</v>
      </c>
      <c r="U142" s="1">
        <v>154.6</v>
      </c>
      <c r="V142" s="14">
        <f>VLOOKUP($D142,Notes!$B$2:$C$229,2,0)</f>
        <v>156.30000000000001</v>
      </c>
      <c r="W142" s="1">
        <v>146.4</v>
      </c>
      <c r="X142" s="1">
        <v>151.6</v>
      </c>
      <c r="Y142" s="1">
        <v>159.1</v>
      </c>
      <c r="Z142" s="1">
        <v>144.6</v>
      </c>
      <c r="AA142" s="1">
        <v>152.80000000000001</v>
      </c>
      <c r="AB142" s="1">
        <v>161.1</v>
      </c>
      <c r="AC142" s="1">
        <v>157.4</v>
      </c>
      <c r="AD142" s="1">
        <v>153.69999999999999</v>
      </c>
      <c r="AE142" s="1">
        <v>155.4</v>
      </c>
    </row>
    <row r="143" spans="1:31" x14ac:dyDescent="0.25">
      <c r="A143" s="1" t="s">
        <v>30</v>
      </c>
      <c r="B143" s="1">
        <v>2021</v>
      </c>
      <c r="C143" s="1" t="s">
        <v>31</v>
      </c>
      <c r="D143" s="1" t="s">
        <v>178</v>
      </c>
      <c r="E143" s="1">
        <v>143.4</v>
      </c>
      <c r="F143" s="1">
        <v>187.5</v>
      </c>
      <c r="G143" s="1">
        <v>173.4</v>
      </c>
      <c r="H143" s="1">
        <v>154</v>
      </c>
      <c r="I143" s="1">
        <v>154.80000000000001</v>
      </c>
      <c r="J143" s="1">
        <v>147</v>
      </c>
      <c r="K143" s="1">
        <v>187.8</v>
      </c>
      <c r="L143" s="1">
        <v>159.5</v>
      </c>
      <c r="M143" s="1">
        <v>113.8</v>
      </c>
      <c r="N143" s="1">
        <v>164.5</v>
      </c>
      <c r="O143" s="1">
        <v>156.1</v>
      </c>
      <c r="P143" s="1">
        <v>164.3</v>
      </c>
      <c r="Q143" s="1">
        <v>159.6</v>
      </c>
      <c r="R143" s="1">
        <v>184.6</v>
      </c>
      <c r="S143" s="1">
        <v>157.5</v>
      </c>
      <c r="T143" s="1">
        <v>152.4</v>
      </c>
      <c r="U143" s="1">
        <v>156.80000000000001</v>
      </c>
      <c r="V143" s="14">
        <f>VLOOKUP($D143,Notes!$B$2:$C$229,2,0)</f>
        <v>157.69999999999999</v>
      </c>
      <c r="W143" s="1">
        <v>150.9</v>
      </c>
      <c r="X143" s="1">
        <v>153.9</v>
      </c>
      <c r="Y143" s="1">
        <v>162.5</v>
      </c>
      <c r="Z143" s="1">
        <v>147.5</v>
      </c>
      <c r="AA143" s="1">
        <v>155.1</v>
      </c>
      <c r="AB143" s="1">
        <v>163.5</v>
      </c>
      <c r="AC143" s="1">
        <v>156.19999999999999</v>
      </c>
      <c r="AD143" s="1">
        <v>155.9</v>
      </c>
      <c r="AE143" s="1">
        <v>158.5</v>
      </c>
    </row>
    <row r="144" spans="1:31" x14ac:dyDescent="0.25">
      <c r="A144" s="1" t="s">
        <v>30</v>
      </c>
      <c r="B144" s="1">
        <v>2020</v>
      </c>
      <c r="C144" s="1" t="s">
        <v>41</v>
      </c>
      <c r="D144" s="1" t="s">
        <v>173</v>
      </c>
      <c r="E144" s="1">
        <v>147.6</v>
      </c>
      <c r="F144" s="1">
        <v>187.2</v>
      </c>
      <c r="G144" s="1">
        <v>148.4</v>
      </c>
      <c r="H144" s="1">
        <v>153.30000000000001</v>
      </c>
      <c r="I144" s="1">
        <v>139.80000000000001</v>
      </c>
      <c r="J144" s="1">
        <v>146.9</v>
      </c>
      <c r="K144" s="1">
        <v>171</v>
      </c>
      <c r="L144" s="1">
        <v>149.9</v>
      </c>
      <c r="M144" s="1">
        <v>114.2</v>
      </c>
      <c r="N144" s="1">
        <v>160</v>
      </c>
      <c r="O144" s="1">
        <v>143.5</v>
      </c>
      <c r="P144" s="1">
        <v>161.5</v>
      </c>
      <c r="Q144" s="1">
        <v>155.30000000000001</v>
      </c>
      <c r="R144" s="1">
        <v>180.9</v>
      </c>
      <c r="S144" s="1">
        <v>155.1</v>
      </c>
      <c r="T144" s="1">
        <v>149.30000000000001</v>
      </c>
      <c r="U144" s="1">
        <v>154.30000000000001</v>
      </c>
      <c r="V144" s="14">
        <f>VLOOKUP($D144,Notes!$B$2:$C$229,2,0)</f>
        <v>155.5</v>
      </c>
      <c r="W144" s="1">
        <v>145.80000000000001</v>
      </c>
      <c r="X144" s="1">
        <v>151.9</v>
      </c>
      <c r="Y144" s="1">
        <v>158.80000000000001</v>
      </c>
      <c r="Z144" s="1">
        <v>143.6</v>
      </c>
      <c r="AA144" s="1">
        <v>152.19999999999999</v>
      </c>
      <c r="AB144" s="1">
        <v>162.69999999999999</v>
      </c>
      <c r="AC144" s="1">
        <v>153.6</v>
      </c>
      <c r="AD144" s="1">
        <v>153</v>
      </c>
      <c r="AE144" s="1">
        <v>154.69999999999999</v>
      </c>
    </row>
    <row r="145" spans="1:31" x14ac:dyDescent="0.25">
      <c r="A145" s="1" t="s">
        <v>34</v>
      </c>
      <c r="B145" s="1">
        <v>2019</v>
      </c>
      <c r="C145" s="1" t="s">
        <v>39</v>
      </c>
      <c r="D145" s="1" t="s">
        <v>159</v>
      </c>
      <c r="E145" s="1">
        <v>138.69999999999999</v>
      </c>
      <c r="F145" s="1">
        <v>162.1</v>
      </c>
      <c r="G145" s="1">
        <v>137.80000000000001</v>
      </c>
      <c r="H145" s="1">
        <v>143.30000000000001</v>
      </c>
      <c r="I145" s="1">
        <v>122.2</v>
      </c>
      <c r="J145" s="1">
        <v>146.80000000000001</v>
      </c>
      <c r="K145" s="1">
        <v>150.5</v>
      </c>
      <c r="L145" s="1">
        <v>128.30000000000001</v>
      </c>
      <c r="M145" s="1">
        <v>111</v>
      </c>
      <c r="N145" s="1">
        <v>140.6</v>
      </c>
      <c r="O145" s="1">
        <v>134.19999999999999</v>
      </c>
      <c r="P145" s="1">
        <v>155.9</v>
      </c>
      <c r="Q145" s="1">
        <v>142.69999999999999</v>
      </c>
      <c r="R145" s="1">
        <v>164.9</v>
      </c>
      <c r="S145" s="1">
        <v>148.6</v>
      </c>
      <c r="T145" s="1">
        <v>140.4</v>
      </c>
      <c r="U145" s="1">
        <v>147.4</v>
      </c>
      <c r="V145" s="1">
        <v>149.4</v>
      </c>
      <c r="W145" s="1">
        <v>141.19999999999999</v>
      </c>
      <c r="X145" s="1">
        <v>143.80000000000001</v>
      </c>
      <c r="Y145" s="1">
        <v>147.4</v>
      </c>
      <c r="Z145" s="1">
        <v>124.6</v>
      </c>
      <c r="AA145" s="1">
        <v>139.6</v>
      </c>
      <c r="AB145" s="1">
        <v>152.5</v>
      </c>
      <c r="AC145" s="1">
        <v>134.30000000000001</v>
      </c>
      <c r="AD145" s="1">
        <v>138.6</v>
      </c>
      <c r="AE145" s="1">
        <v>142.9</v>
      </c>
    </row>
    <row r="146" spans="1:31" x14ac:dyDescent="0.25">
      <c r="A146" s="1" t="s">
        <v>30</v>
      </c>
      <c r="B146" s="1">
        <v>2017</v>
      </c>
      <c r="C146" s="1" t="s">
        <v>43</v>
      </c>
      <c r="D146" s="1" t="s">
        <v>140</v>
      </c>
      <c r="E146" s="1">
        <v>135.9</v>
      </c>
      <c r="F146" s="1">
        <v>141.9</v>
      </c>
      <c r="G146" s="1">
        <v>131</v>
      </c>
      <c r="H146" s="1">
        <v>141.5</v>
      </c>
      <c r="I146" s="1">
        <v>121.4</v>
      </c>
      <c r="J146" s="1">
        <v>146.69999999999999</v>
      </c>
      <c r="K146" s="1">
        <v>157.1</v>
      </c>
      <c r="L146" s="1">
        <v>136.4</v>
      </c>
      <c r="M146" s="1">
        <v>121.4</v>
      </c>
      <c r="N146" s="1">
        <v>135.6</v>
      </c>
      <c r="O146" s="1">
        <v>131.30000000000001</v>
      </c>
      <c r="P146" s="1">
        <v>150.30000000000001</v>
      </c>
      <c r="Q146" s="1">
        <v>140.4</v>
      </c>
      <c r="R146" s="1">
        <v>150.5</v>
      </c>
      <c r="S146" s="1">
        <v>147.19999999999999</v>
      </c>
      <c r="T146" s="1">
        <v>140.6</v>
      </c>
      <c r="U146" s="1">
        <v>146.19999999999999</v>
      </c>
      <c r="V146" s="14">
        <f>VLOOKUP($D146,Notes!$B$2:$C$229,2,0)</f>
        <v>137.30000000000001</v>
      </c>
      <c r="W146" s="1">
        <v>138.1</v>
      </c>
      <c r="X146" s="1">
        <v>138.4</v>
      </c>
      <c r="Y146" s="1">
        <v>134.19999999999999</v>
      </c>
      <c r="Z146" s="1">
        <v>121</v>
      </c>
      <c r="AA146" s="1">
        <v>133</v>
      </c>
      <c r="AB146" s="1">
        <v>140.1</v>
      </c>
      <c r="AC146" s="1">
        <v>127.4</v>
      </c>
      <c r="AD146" s="1">
        <v>130.69999999999999</v>
      </c>
      <c r="AE146" s="1">
        <v>138.30000000000001</v>
      </c>
    </row>
    <row r="147" spans="1:31" x14ac:dyDescent="0.25">
      <c r="A147" s="1" t="s">
        <v>34</v>
      </c>
      <c r="B147" s="1">
        <v>2019</v>
      </c>
      <c r="C147" s="1" t="s">
        <v>42</v>
      </c>
      <c r="D147" s="1" t="s">
        <v>162</v>
      </c>
      <c r="E147" s="1">
        <v>140.9</v>
      </c>
      <c r="F147" s="1">
        <v>160.80000000000001</v>
      </c>
      <c r="G147" s="1">
        <v>139.6</v>
      </c>
      <c r="H147" s="1">
        <v>145.4</v>
      </c>
      <c r="I147" s="1">
        <v>123.5</v>
      </c>
      <c r="J147" s="1">
        <v>146.6</v>
      </c>
      <c r="K147" s="1">
        <v>173.2</v>
      </c>
      <c r="L147" s="1">
        <v>131.6</v>
      </c>
      <c r="M147" s="1">
        <v>113.2</v>
      </c>
      <c r="N147" s="1">
        <v>144.1</v>
      </c>
      <c r="O147" s="1">
        <v>135</v>
      </c>
      <c r="P147" s="1">
        <v>156.80000000000001</v>
      </c>
      <c r="Q147" s="1">
        <v>147</v>
      </c>
      <c r="R147" s="1">
        <v>166.5</v>
      </c>
      <c r="S147" s="1">
        <v>149.19999999999999</v>
      </c>
      <c r="T147" s="1">
        <v>140.6</v>
      </c>
      <c r="U147" s="1">
        <v>147.9</v>
      </c>
      <c r="V147" s="1">
        <v>152.19999999999999</v>
      </c>
      <c r="W147" s="1">
        <v>139.19999999999999</v>
      </c>
      <c r="X147" s="1">
        <v>144.6</v>
      </c>
      <c r="Y147" s="1">
        <v>149</v>
      </c>
      <c r="Z147" s="1">
        <v>126.1</v>
      </c>
      <c r="AA147" s="1">
        <v>141.30000000000001</v>
      </c>
      <c r="AB147" s="1">
        <v>155.19999999999999</v>
      </c>
      <c r="AC147" s="1">
        <v>139.69999999999999</v>
      </c>
      <c r="AD147" s="1">
        <v>140.69999999999999</v>
      </c>
      <c r="AE147" s="1">
        <v>145.80000000000001</v>
      </c>
    </row>
    <row r="148" spans="1:31" x14ac:dyDescent="0.25">
      <c r="A148" s="1" t="s">
        <v>34</v>
      </c>
      <c r="B148" s="1">
        <v>2019</v>
      </c>
      <c r="C148" s="1" t="s">
        <v>38</v>
      </c>
      <c r="D148" s="1" t="s">
        <v>158</v>
      </c>
      <c r="E148" s="1">
        <v>138.30000000000001</v>
      </c>
      <c r="F148" s="1">
        <v>158.5</v>
      </c>
      <c r="G148" s="1">
        <v>136</v>
      </c>
      <c r="H148" s="1">
        <v>142.5</v>
      </c>
      <c r="I148" s="1">
        <v>122</v>
      </c>
      <c r="J148" s="1">
        <v>146.5</v>
      </c>
      <c r="K148" s="1">
        <v>143</v>
      </c>
      <c r="L148" s="1">
        <v>124.9</v>
      </c>
      <c r="M148" s="1">
        <v>109.9</v>
      </c>
      <c r="N148" s="1">
        <v>139.9</v>
      </c>
      <c r="O148" s="1">
        <v>134</v>
      </c>
      <c r="P148" s="1">
        <v>155.5</v>
      </c>
      <c r="Q148" s="1">
        <v>140.9</v>
      </c>
      <c r="R148" s="1">
        <v>164.1</v>
      </c>
      <c r="S148" s="1">
        <v>148.4</v>
      </c>
      <c r="T148" s="1">
        <v>140.4</v>
      </c>
      <c r="U148" s="1">
        <v>147.30000000000001</v>
      </c>
      <c r="V148" s="1">
        <v>150.1</v>
      </c>
      <c r="W148" s="1">
        <v>140.30000000000001</v>
      </c>
      <c r="X148" s="1">
        <v>143.69999999999999</v>
      </c>
      <c r="Y148" s="1">
        <v>146.9</v>
      </c>
      <c r="Z148" s="1">
        <v>124.9</v>
      </c>
      <c r="AA148" s="1">
        <v>139.19999999999999</v>
      </c>
      <c r="AB148" s="1">
        <v>151.6</v>
      </c>
      <c r="AC148" s="1">
        <v>133.4</v>
      </c>
      <c r="AD148" s="1">
        <v>138.19999999999999</v>
      </c>
      <c r="AE148" s="1">
        <v>142</v>
      </c>
    </row>
    <row r="149" spans="1:31" x14ac:dyDescent="0.25">
      <c r="A149" s="1" t="s">
        <v>30</v>
      </c>
      <c r="B149" s="1">
        <v>2020</v>
      </c>
      <c r="C149" s="1" t="s">
        <v>44</v>
      </c>
      <c r="D149" s="1" t="s">
        <v>176</v>
      </c>
      <c r="E149" s="1">
        <v>145.4</v>
      </c>
      <c r="F149" s="1">
        <v>188.6</v>
      </c>
      <c r="G149" s="1">
        <v>171.6</v>
      </c>
      <c r="H149" s="1">
        <v>153.80000000000001</v>
      </c>
      <c r="I149" s="1">
        <v>145.4</v>
      </c>
      <c r="J149" s="1">
        <v>146.5</v>
      </c>
      <c r="K149" s="1">
        <v>222.2</v>
      </c>
      <c r="L149" s="1">
        <v>155.9</v>
      </c>
      <c r="M149" s="1">
        <v>114.9</v>
      </c>
      <c r="N149" s="1">
        <v>162</v>
      </c>
      <c r="O149" s="1">
        <v>150</v>
      </c>
      <c r="P149" s="1">
        <v>162.69999999999999</v>
      </c>
      <c r="Q149" s="1">
        <v>163.4</v>
      </c>
      <c r="R149" s="1">
        <v>183.4</v>
      </c>
      <c r="S149" s="1">
        <v>156.30000000000001</v>
      </c>
      <c r="T149" s="1">
        <v>151</v>
      </c>
      <c r="U149" s="1">
        <v>155.5</v>
      </c>
      <c r="V149" s="14">
        <f>VLOOKUP($D149,Notes!$B$2:$C$229,2,0)</f>
        <v>158</v>
      </c>
      <c r="W149" s="1">
        <v>147.5</v>
      </c>
      <c r="X149" s="1">
        <v>152.80000000000001</v>
      </c>
      <c r="Y149" s="1">
        <v>160.4</v>
      </c>
      <c r="Z149" s="1">
        <v>146.1</v>
      </c>
      <c r="AA149" s="1">
        <v>153.6</v>
      </c>
      <c r="AB149" s="1">
        <v>161.6</v>
      </c>
      <c r="AC149" s="1">
        <v>156.19999999999999</v>
      </c>
      <c r="AD149" s="1">
        <v>154.5</v>
      </c>
      <c r="AE149" s="1">
        <v>159.80000000000001</v>
      </c>
    </row>
    <row r="150" spans="1:31" x14ac:dyDescent="0.25">
      <c r="A150" s="1" t="s">
        <v>30</v>
      </c>
      <c r="B150" s="1">
        <v>2019</v>
      </c>
      <c r="C150" s="1" t="s">
        <v>40</v>
      </c>
      <c r="D150" s="1" t="s">
        <v>160</v>
      </c>
      <c r="E150" s="1">
        <v>138.4</v>
      </c>
      <c r="F150" s="1">
        <v>164</v>
      </c>
      <c r="G150" s="1">
        <v>138.4</v>
      </c>
      <c r="H150" s="1">
        <v>143.9</v>
      </c>
      <c r="I150" s="1">
        <v>124.4</v>
      </c>
      <c r="J150" s="1">
        <v>146.4</v>
      </c>
      <c r="K150" s="1">
        <v>150.1</v>
      </c>
      <c r="L150" s="1">
        <v>130.6</v>
      </c>
      <c r="M150" s="1">
        <v>110.8</v>
      </c>
      <c r="N150" s="1">
        <v>141.69999999999999</v>
      </c>
      <c r="O150" s="1">
        <v>138.5</v>
      </c>
      <c r="P150" s="1">
        <v>156.69999999999999</v>
      </c>
      <c r="Q150" s="1">
        <v>143</v>
      </c>
      <c r="R150" s="1">
        <v>164.5</v>
      </c>
      <c r="S150" s="1">
        <v>151.6</v>
      </c>
      <c r="T150" s="1">
        <v>146.6</v>
      </c>
      <c r="U150" s="1">
        <v>150.9</v>
      </c>
      <c r="V150" s="14">
        <f>VLOOKUP($D150,Notes!$B$2:$C$229,2,0)</f>
        <v>150.6</v>
      </c>
      <c r="W150" s="1">
        <v>146.80000000000001</v>
      </c>
      <c r="X150" s="1">
        <v>150</v>
      </c>
      <c r="Y150" s="1">
        <v>152.19999999999999</v>
      </c>
      <c r="Z150" s="1">
        <v>131.19999999999999</v>
      </c>
      <c r="AA150" s="1">
        <v>147.5</v>
      </c>
      <c r="AB150" s="1">
        <v>159.1</v>
      </c>
      <c r="AC150" s="1">
        <v>136.1</v>
      </c>
      <c r="AD150" s="1">
        <v>144.19999999999999</v>
      </c>
      <c r="AE150" s="1">
        <v>144.9</v>
      </c>
    </row>
    <row r="151" spans="1:31" x14ac:dyDescent="0.25">
      <c r="A151" s="1" t="s">
        <v>33</v>
      </c>
      <c r="B151" s="1">
        <v>2018</v>
      </c>
      <c r="C151" s="1" t="s">
        <v>41</v>
      </c>
      <c r="D151" s="1" t="s">
        <v>150</v>
      </c>
      <c r="E151" s="1">
        <v>136.5</v>
      </c>
      <c r="F151" s="1">
        <v>146.4</v>
      </c>
      <c r="G151" s="1">
        <v>136.6</v>
      </c>
      <c r="H151" s="1">
        <v>141.19999999999999</v>
      </c>
      <c r="I151" s="1">
        <v>117.4</v>
      </c>
      <c r="J151" s="1">
        <v>146.30000000000001</v>
      </c>
      <c r="K151" s="1">
        <v>157.30000000000001</v>
      </c>
      <c r="L151" s="1">
        <v>113.6</v>
      </c>
      <c r="M151" s="1">
        <v>113.3</v>
      </c>
      <c r="N151" s="1">
        <v>141.1</v>
      </c>
      <c r="O151" s="1">
        <v>127.4</v>
      </c>
      <c r="P151" s="1">
        <v>150.4</v>
      </c>
      <c r="Q151" s="1">
        <v>140.1</v>
      </c>
      <c r="R151" s="1">
        <v>162.1</v>
      </c>
      <c r="S151" s="1">
        <v>140</v>
      </c>
      <c r="T151" s="1">
        <v>129</v>
      </c>
      <c r="U151" s="1">
        <v>138.30000000000001</v>
      </c>
      <c r="V151" s="1">
        <v>144.6</v>
      </c>
      <c r="W151" s="1">
        <v>129.80000000000001</v>
      </c>
      <c r="X151" s="1">
        <v>134.4</v>
      </c>
      <c r="Y151" s="1">
        <v>134.9</v>
      </c>
      <c r="Z151" s="1">
        <v>120.7</v>
      </c>
      <c r="AA151" s="1">
        <v>129.80000000000001</v>
      </c>
      <c r="AB151" s="1">
        <v>145.30000000000001</v>
      </c>
      <c r="AC151" s="1">
        <v>128.30000000000001</v>
      </c>
      <c r="AD151" s="1">
        <v>131</v>
      </c>
      <c r="AE151" s="1">
        <v>138</v>
      </c>
    </row>
    <row r="152" spans="1:31" x14ac:dyDescent="0.25">
      <c r="A152" s="1" t="s">
        <v>34</v>
      </c>
      <c r="B152" s="1">
        <v>2018</v>
      </c>
      <c r="C152" s="1" t="s">
        <v>36</v>
      </c>
      <c r="D152" s="1" t="s">
        <v>145</v>
      </c>
      <c r="E152" s="1">
        <v>136.19999999999999</v>
      </c>
      <c r="F152" s="1">
        <v>143.6</v>
      </c>
      <c r="G152" s="1">
        <v>138.30000000000001</v>
      </c>
      <c r="H152" s="1">
        <v>141.19999999999999</v>
      </c>
      <c r="I152" s="1">
        <v>120.7</v>
      </c>
      <c r="J152" s="1">
        <v>146.19999999999999</v>
      </c>
      <c r="K152" s="1">
        <v>134.6</v>
      </c>
      <c r="L152" s="1">
        <v>124.6</v>
      </c>
      <c r="M152" s="1">
        <v>116.1</v>
      </c>
      <c r="N152" s="1">
        <v>137.80000000000001</v>
      </c>
      <c r="O152" s="1">
        <v>129.1</v>
      </c>
      <c r="P152" s="1">
        <v>150.4</v>
      </c>
      <c r="Q152" s="1">
        <v>137.19999999999999</v>
      </c>
      <c r="R152" s="1">
        <v>156.30000000000001</v>
      </c>
      <c r="S152" s="1">
        <v>144.30000000000001</v>
      </c>
      <c r="T152" s="1">
        <v>136.19999999999999</v>
      </c>
      <c r="U152" s="1">
        <v>143.1</v>
      </c>
      <c r="V152" s="1">
        <v>142</v>
      </c>
      <c r="W152" s="1">
        <v>136.5</v>
      </c>
      <c r="X152" s="1">
        <v>135.6</v>
      </c>
      <c r="Y152" s="1">
        <v>134.30000000000001</v>
      </c>
      <c r="Z152" s="1">
        <v>121</v>
      </c>
      <c r="AA152" s="1">
        <v>130.4</v>
      </c>
      <c r="AB152" s="1">
        <v>139.80000000000001</v>
      </c>
      <c r="AC152" s="1">
        <v>128.19999999999999</v>
      </c>
      <c r="AD152" s="1">
        <v>130.30000000000001</v>
      </c>
      <c r="AE152" s="1">
        <v>136.5</v>
      </c>
    </row>
    <row r="153" spans="1:31" x14ac:dyDescent="0.25">
      <c r="A153" s="1" t="s">
        <v>30</v>
      </c>
      <c r="B153" s="1">
        <v>2019</v>
      </c>
      <c r="C153" s="1" t="s">
        <v>44</v>
      </c>
      <c r="D153" s="1" t="s">
        <v>164</v>
      </c>
      <c r="E153" s="1">
        <v>141.80000000000001</v>
      </c>
      <c r="F153" s="1">
        <v>163.69999999999999</v>
      </c>
      <c r="G153" s="1">
        <v>143.80000000000001</v>
      </c>
      <c r="H153" s="1">
        <v>147.1</v>
      </c>
      <c r="I153" s="1">
        <v>126</v>
      </c>
      <c r="J153" s="1">
        <v>146.19999999999999</v>
      </c>
      <c r="K153" s="1">
        <v>191.4</v>
      </c>
      <c r="L153" s="1">
        <v>136.19999999999999</v>
      </c>
      <c r="M153" s="1">
        <v>113.8</v>
      </c>
      <c r="N153" s="1">
        <v>147.30000000000001</v>
      </c>
      <c r="O153" s="1">
        <v>138.69999999999999</v>
      </c>
      <c r="P153" s="1">
        <v>157.69999999999999</v>
      </c>
      <c r="Q153" s="1">
        <v>150.9</v>
      </c>
      <c r="R153" s="1">
        <v>167.2</v>
      </c>
      <c r="S153" s="1">
        <v>152.30000000000001</v>
      </c>
      <c r="T153" s="1">
        <v>147</v>
      </c>
      <c r="U153" s="1">
        <v>151.5</v>
      </c>
      <c r="V153" s="14">
        <f>VLOOKUP($D153,Notes!$B$2:$C$229,2,0)</f>
        <v>153.5</v>
      </c>
      <c r="W153" s="1">
        <v>148.4</v>
      </c>
      <c r="X153" s="1">
        <v>150.9</v>
      </c>
      <c r="Y153" s="1">
        <v>154.30000000000001</v>
      </c>
      <c r="Z153" s="1">
        <v>132.1</v>
      </c>
      <c r="AA153" s="1">
        <v>149.1</v>
      </c>
      <c r="AB153" s="1">
        <v>160.80000000000001</v>
      </c>
      <c r="AC153" s="1">
        <v>140.6</v>
      </c>
      <c r="AD153" s="1">
        <v>146.1</v>
      </c>
      <c r="AE153" s="1">
        <v>149.9</v>
      </c>
    </row>
    <row r="154" spans="1:31" x14ac:dyDescent="0.25">
      <c r="A154" s="1" t="s">
        <v>30</v>
      </c>
      <c r="B154" s="1">
        <v>2020</v>
      </c>
      <c r="C154" s="1" t="s">
        <v>45</v>
      </c>
      <c r="D154" s="1" t="s">
        <v>177</v>
      </c>
      <c r="E154" s="1">
        <v>144.6</v>
      </c>
      <c r="F154" s="1">
        <v>188.5</v>
      </c>
      <c r="G154" s="1">
        <v>173.4</v>
      </c>
      <c r="H154" s="1">
        <v>154</v>
      </c>
      <c r="I154" s="1">
        <v>150</v>
      </c>
      <c r="J154" s="1">
        <v>145.9</v>
      </c>
      <c r="K154" s="1">
        <v>225.2</v>
      </c>
      <c r="L154" s="1">
        <v>159.5</v>
      </c>
      <c r="M154" s="1">
        <v>114.4</v>
      </c>
      <c r="N154" s="1">
        <v>163.5</v>
      </c>
      <c r="O154" s="1">
        <v>153.4</v>
      </c>
      <c r="P154" s="1">
        <v>163.6</v>
      </c>
      <c r="Q154" s="1">
        <v>164.5</v>
      </c>
      <c r="R154" s="1">
        <v>183.6</v>
      </c>
      <c r="S154" s="1">
        <v>157</v>
      </c>
      <c r="T154" s="1">
        <v>151.6</v>
      </c>
      <c r="U154" s="1">
        <v>156.30000000000001</v>
      </c>
      <c r="V154" s="14">
        <f>VLOOKUP($D154,Notes!$B$2:$C$229,2,0)</f>
        <v>158.4</v>
      </c>
      <c r="W154" s="1">
        <v>148.69999999999999</v>
      </c>
      <c r="X154" s="1">
        <v>153.4</v>
      </c>
      <c r="Y154" s="1">
        <v>161.6</v>
      </c>
      <c r="Z154" s="1">
        <v>146.4</v>
      </c>
      <c r="AA154" s="1">
        <v>153.9</v>
      </c>
      <c r="AB154" s="1">
        <v>162.9</v>
      </c>
      <c r="AC154" s="1">
        <v>156.6</v>
      </c>
      <c r="AD154" s="1">
        <v>155.19999999999999</v>
      </c>
      <c r="AE154" s="1">
        <v>160.69999999999999</v>
      </c>
    </row>
    <row r="155" spans="1:31" x14ac:dyDescent="0.25">
      <c r="A155" s="1" t="s">
        <v>30</v>
      </c>
      <c r="B155" s="1">
        <v>2019</v>
      </c>
      <c r="C155" s="1" t="s">
        <v>43</v>
      </c>
      <c r="D155" s="1" t="s">
        <v>163</v>
      </c>
      <c r="E155" s="1">
        <v>141</v>
      </c>
      <c r="F155" s="1">
        <v>161.6</v>
      </c>
      <c r="G155" s="1">
        <v>141.19999999999999</v>
      </c>
      <c r="H155" s="1">
        <v>146.5</v>
      </c>
      <c r="I155" s="1">
        <v>125.6</v>
      </c>
      <c r="J155" s="1">
        <v>145.69999999999999</v>
      </c>
      <c r="K155" s="1">
        <v>178.8</v>
      </c>
      <c r="L155" s="1">
        <v>133.1</v>
      </c>
      <c r="M155" s="1">
        <v>113.6</v>
      </c>
      <c r="N155" s="1">
        <v>145.5</v>
      </c>
      <c r="O155" s="1">
        <v>138.6</v>
      </c>
      <c r="P155" s="1">
        <v>157.4</v>
      </c>
      <c r="Q155" s="1">
        <v>148.30000000000001</v>
      </c>
      <c r="R155" s="1">
        <v>166.3</v>
      </c>
      <c r="S155" s="1">
        <v>151.69999999999999</v>
      </c>
      <c r="T155" s="1">
        <v>146.69999999999999</v>
      </c>
      <c r="U155" s="1">
        <v>151</v>
      </c>
      <c r="V155" s="14">
        <f>VLOOKUP($D155,Notes!$B$2:$C$229,2,0)</f>
        <v>153</v>
      </c>
      <c r="W155" s="1">
        <v>147.69999999999999</v>
      </c>
      <c r="X155" s="1">
        <v>150.6</v>
      </c>
      <c r="Y155" s="1">
        <v>153.69999999999999</v>
      </c>
      <c r="Z155" s="1">
        <v>131.69999999999999</v>
      </c>
      <c r="AA155" s="1">
        <v>148.69999999999999</v>
      </c>
      <c r="AB155" s="1">
        <v>160.69999999999999</v>
      </c>
      <c r="AC155" s="1">
        <v>140.30000000000001</v>
      </c>
      <c r="AD155" s="1">
        <v>145.69999999999999</v>
      </c>
      <c r="AE155" s="1">
        <v>148.30000000000001</v>
      </c>
    </row>
    <row r="156" spans="1:31" x14ac:dyDescent="0.25">
      <c r="A156" s="1" t="s">
        <v>34</v>
      </c>
      <c r="B156" s="1">
        <v>2019</v>
      </c>
      <c r="C156" s="1" t="s">
        <v>45</v>
      </c>
      <c r="D156" s="1" t="s">
        <v>165</v>
      </c>
      <c r="E156" s="1">
        <v>143.5</v>
      </c>
      <c r="F156" s="1">
        <v>165</v>
      </c>
      <c r="G156" s="1">
        <v>151.1</v>
      </c>
      <c r="H156" s="1">
        <v>148.30000000000001</v>
      </c>
      <c r="I156" s="1">
        <v>125.7</v>
      </c>
      <c r="J156" s="1">
        <v>145.69999999999999</v>
      </c>
      <c r="K156" s="1">
        <v>217</v>
      </c>
      <c r="L156" s="1">
        <v>138.30000000000001</v>
      </c>
      <c r="M156" s="1">
        <v>114</v>
      </c>
      <c r="N156" s="1">
        <v>148.69999999999999</v>
      </c>
      <c r="O156" s="1">
        <v>135.80000000000001</v>
      </c>
      <c r="P156" s="1">
        <v>158</v>
      </c>
      <c r="Q156" s="1">
        <v>155</v>
      </c>
      <c r="R156" s="1">
        <v>168.5</v>
      </c>
      <c r="S156" s="1">
        <v>150.30000000000001</v>
      </c>
      <c r="T156" s="1">
        <v>141.30000000000001</v>
      </c>
      <c r="U156" s="1">
        <v>149</v>
      </c>
      <c r="V156" s="1">
        <v>152.80000000000001</v>
      </c>
      <c r="W156" s="1">
        <v>143.69999999999999</v>
      </c>
      <c r="X156" s="1">
        <v>145.80000000000001</v>
      </c>
      <c r="Y156" s="1">
        <v>150.4</v>
      </c>
      <c r="Z156" s="1">
        <v>129.80000000000001</v>
      </c>
      <c r="AA156" s="1">
        <v>142.30000000000001</v>
      </c>
      <c r="AB156" s="1">
        <v>155.69999999999999</v>
      </c>
      <c r="AC156" s="1">
        <v>140.4</v>
      </c>
      <c r="AD156" s="1">
        <v>142.5</v>
      </c>
      <c r="AE156" s="1">
        <v>150.4</v>
      </c>
    </row>
    <row r="157" spans="1:31" x14ac:dyDescent="0.25">
      <c r="A157" s="1" t="s">
        <v>34</v>
      </c>
      <c r="B157" s="1">
        <v>2017</v>
      </c>
      <c r="C157" s="1" t="s">
        <v>41</v>
      </c>
      <c r="D157" s="1" t="s">
        <v>138</v>
      </c>
      <c r="E157" s="1">
        <v>134.30000000000001</v>
      </c>
      <c r="F157" s="1">
        <v>143.4</v>
      </c>
      <c r="G157" s="1">
        <v>129.30000000000001</v>
      </c>
      <c r="H157" s="1">
        <v>139</v>
      </c>
      <c r="I157" s="1">
        <v>118.1</v>
      </c>
      <c r="J157" s="1">
        <v>145.5</v>
      </c>
      <c r="K157" s="1">
        <v>168.6</v>
      </c>
      <c r="L157" s="1">
        <v>132.69999999999999</v>
      </c>
      <c r="M157" s="1">
        <v>121.2</v>
      </c>
      <c r="N157" s="1">
        <v>135.6</v>
      </c>
      <c r="O157" s="1">
        <v>128.69999999999999</v>
      </c>
      <c r="P157" s="1">
        <v>146.80000000000001</v>
      </c>
      <c r="Q157" s="1">
        <v>140.6</v>
      </c>
      <c r="R157" s="1">
        <v>149.80000000000001</v>
      </c>
      <c r="S157" s="1">
        <v>140.30000000000001</v>
      </c>
      <c r="T157" s="1">
        <v>133</v>
      </c>
      <c r="U157" s="1">
        <v>139.30000000000001</v>
      </c>
      <c r="V157" s="1">
        <v>134.4</v>
      </c>
      <c r="W157" s="1">
        <v>129.80000000000001</v>
      </c>
      <c r="X157" s="1">
        <v>132.80000000000001</v>
      </c>
      <c r="Y157" s="1">
        <v>130.19999999999999</v>
      </c>
      <c r="Z157" s="1">
        <v>117.3</v>
      </c>
      <c r="AA157" s="1">
        <v>127.3</v>
      </c>
      <c r="AB157" s="1">
        <v>137.6</v>
      </c>
      <c r="AC157" s="1">
        <v>124.5</v>
      </c>
      <c r="AD157" s="1">
        <v>126.8</v>
      </c>
      <c r="AE157" s="1">
        <v>135.4</v>
      </c>
    </row>
    <row r="158" spans="1:31" x14ac:dyDescent="0.25">
      <c r="A158" s="1" t="s">
        <v>30</v>
      </c>
      <c r="B158" s="1">
        <v>2019</v>
      </c>
      <c r="C158" s="1" t="s">
        <v>41</v>
      </c>
      <c r="D158" s="1" t="s">
        <v>161</v>
      </c>
      <c r="E158" s="1">
        <v>139.19999999999999</v>
      </c>
      <c r="F158" s="1">
        <v>161.9</v>
      </c>
      <c r="G158" s="1">
        <v>137.1</v>
      </c>
      <c r="H158" s="1">
        <v>144.6</v>
      </c>
      <c r="I158" s="1">
        <v>124.7</v>
      </c>
      <c r="J158" s="1">
        <v>145.5</v>
      </c>
      <c r="K158" s="1">
        <v>156.19999999999999</v>
      </c>
      <c r="L158" s="1">
        <v>131.5</v>
      </c>
      <c r="M158" s="1">
        <v>111.7</v>
      </c>
      <c r="N158" s="1">
        <v>142.69999999999999</v>
      </c>
      <c r="O158" s="1">
        <v>138.5</v>
      </c>
      <c r="P158" s="1">
        <v>156.9</v>
      </c>
      <c r="Q158" s="1">
        <v>144</v>
      </c>
      <c r="R158" s="1">
        <v>165.1</v>
      </c>
      <c r="S158" s="1">
        <v>151.80000000000001</v>
      </c>
      <c r="T158" s="1">
        <v>146.6</v>
      </c>
      <c r="U158" s="1">
        <v>151.1</v>
      </c>
      <c r="V158" s="14">
        <f>VLOOKUP($D158,Notes!$B$2:$C$229,2,0)</f>
        <v>151.6</v>
      </c>
      <c r="W158" s="1">
        <v>146.4</v>
      </c>
      <c r="X158" s="1">
        <v>150.19999999999999</v>
      </c>
      <c r="Y158" s="1">
        <v>152.69999999999999</v>
      </c>
      <c r="Z158" s="1">
        <v>131.4</v>
      </c>
      <c r="AA158" s="1">
        <v>148</v>
      </c>
      <c r="AB158" s="1">
        <v>159.69999999999999</v>
      </c>
      <c r="AC158" s="1">
        <v>138.80000000000001</v>
      </c>
      <c r="AD158" s="1">
        <v>144.9</v>
      </c>
      <c r="AE158" s="1">
        <v>145.69999999999999</v>
      </c>
    </row>
    <row r="159" spans="1:31" x14ac:dyDescent="0.25">
      <c r="A159" s="1" t="s">
        <v>34</v>
      </c>
      <c r="B159" s="1">
        <v>2018</v>
      </c>
      <c r="C159" s="1" t="s">
        <v>42</v>
      </c>
      <c r="D159" s="1" t="s">
        <v>151</v>
      </c>
      <c r="E159" s="1">
        <v>138.6</v>
      </c>
      <c r="F159" s="1">
        <v>145.80000000000001</v>
      </c>
      <c r="G159" s="1">
        <v>135.1</v>
      </c>
      <c r="H159" s="1">
        <v>142.9</v>
      </c>
      <c r="I159" s="1">
        <v>122.1</v>
      </c>
      <c r="J159" s="1">
        <v>145.4</v>
      </c>
      <c r="K159" s="1">
        <v>150</v>
      </c>
      <c r="L159" s="1">
        <v>121.4</v>
      </c>
      <c r="M159" s="1">
        <v>113.7</v>
      </c>
      <c r="N159" s="1">
        <v>139.5</v>
      </c>
      <c r="O159" s="1">
        <v>130.80000000000001</v>
      </c>
      <c r="P159" s="1">
        <v>153.80000000000001</v>
      </c>
      <c r="Q159" s="1">
        <v>140.4</v>
      </c>
      <c r="R159" s="1">
        <v>159.19999999999999</v>
      </c>
      <c r="S159" s="1">
        <v>147.69999999999999</v>
      </c>
      <c r="T159" s="1">
        <v>139.1</v>
      </c>
      <c r="U159" s="1">
        <v>146.5</v>
      </c>
      <c r="V159" s="1">
        <v>145.30000000000001</v>
      </c>
      <c r="W159" s="1">
        <v>142.30000000000001</v>
      </c>
      <c r="X159" s="1">
        <v>139.69999999999999</v>
      </c>
      <c r="Y159" s="1">
        <v>138.4</v>
      </c>
      <c r="Z159" s="1">
        <v>126</v>
      </c>
      <c r="AA159" s="1">
        <v>134.5</v>
      </c>
      <c r="AB159" s="1">
        <v>146.19999999999999</v>
      </c>
      <c r="AC159" s="1">
        <v>130.9</v>
      </c>
      <c r="AD159" s="1">
        <v>134.69999999999999</v>
      </c>
      <c r="AE159" s="1">
        <v>140.19999999999999</v>
      </c>
    </row>
    <row r="160" spans="1:31" hidden="1" x14ac:dyDescent="0.25">
      <c r="A160" s="1" t="s">
        <v>30</v>
      </c>
      <c r="B160" s="1">
        <v>2020</v>
      </c>
      <c r="C160" s="1" t="s">
        <v>38</v>
      </c>
      <c r="D160" s="1" t="s">
        <v>170</v>
      </c>
      <c r="E160" s="14">
        <v>147.69999999999999</v>
      </c>
      <c r="F160" s="14">
        <v>178.55</v>
      </c>
      <c r="G160" s="1">
        <v>451.5</v>
      </c>
      <c r="H160" s="14">
        <v>154.44999999999999</v>
      </c>
      <c r="I160" s="14">
        <v>137.64999999999998</v>
      </c>
      <c r="J160" s="14">
        <v>145.25</v>
      </c>
      <c r="K160" s="14">
        <v>155.80000000000001</v>
      </c>
      <c r="L160" s="14">
        <v>150.25</v>
      </c>
      <c r="M160" s="14">
        <v>116.5</v>
      </c>
      <c r="N160" s="14">
        <v>159.25</v>
      </c>
      <c r="O160" s="14">
        <v>140.64999999999998</v>
      </c>
      <c r="P160" s="14">
        <v>160.39999999999998</v>
      </c>
      <c r="Q160" s="14">
        <v>151.19999999999999</v>
      </c>
      <c r="R160" s="14">
        <v>180</v>
      </c>
      <c r="S160" s="14">
        <v>148.39999999999998</v>
      </c>
      <c r="T160" s="14">
        <v>135.19999999999999</v>
      </c>
      <c r="U160" s="14">
        <v>146.39999999999998</v>
      </c>
      <c r="V160" s="14">
        <f>VLOOKUP($D160,Notes!$B$2:$C$229,2,0)</f>
        <v>155.14999999999998</v>
      </c>
      <c r="W160" s="14">
        <v>146.65</v>
      </c>
      <c r="X160" s="14">
        <v>151.6</v>
      </c>
      <c r="Y160" s="14">
        <v>156.25</v>
      </c>
      <c r="Z160" s="14">
        <v>126.95</v>
      </c>
      <c r="AA160" s="14">
        <v>141.19999999999999</v>
      </c>
      <c r="AB160" s="14">
        <v>152.5</v>
      </c>
      <c r="AC160" s="14">
        <v>148.75</v>
      </c>
      <c r="AD160" s="14">
        <v>140.35</v>
      </c>
      <c r="AE160" s="14">
        <v>149.05000000000001</v>
      </c>
    </row>
    <row r="161" spans="1:31" x14ac:dyDescent="0.25">
      <c r="A161" s="1" t="s">
        <v>30</v>
      </c>
      <c r="B161" s="1">
        <v>2018</v>
      </c>
      <c r="C161" s="1" t="s">
        <v>43</v>
      </c>
      <c r="D161" s="1" t="s">
        <v>152</v>
      </c>
      <c r="E161" s="1">
        <v>139.30000000000001</v>
      </c>
      <c r="F161" s="1">
        <v>147.6</v>
      </c>
      <c r="G161" s="1">
        <v>134.6</v>
      </c>
      <c r="H161" s="1">
        <v>141.9</v>
      </c>
      <c r="I161" s="1">
        <v>123.5</v>
      </c>
      <c r="J161" s="1">
        <v>144.5</v>
      </c>
      <c r="K161" s="1">
        <v>147.6</v>
      </c>
      <c r="L161" s="1">
        <v>121.4</v>
      </c>
      <c r="M161" s="1">
        <v>112.3</v>
      </c>
      <c r="N161" s="1">
        <v>139.5</v>
      </c>
      <c r="O161" s="1">
        <v>134.6</v>
      </c>
      <c r="P161" s="1">
        <v>155.19999999999999</v>
      </c>
      <c r="Q161" s="1">
        <v>140.19999999999999</v>
      </c>
      <c r="R161" s="1">
        <v>159.6</v>
      </c>
      <c r="S161" s="1">
        <v>150.69999999999999</v>
      </c>
      <c r="T161" s="1">
        <v>144.5</v>
      </c>
      <c r="U161" s="1">
        <v>149.80000000000001</v>
      </c>
      <c r="V161" s="14">
        <f>VLOOKUP($D161,Notes!$B$2:$C$229,2,0)</f>
        <v>146.30000000000001</v>
      </c>
      <c r="W161" s="1">
        <v>149.69999999999999</v>
      </c>
      <c r="X161" s="1">
        <v>147.5</v>
      </c>
      <c r="Y161" s="1">
        <v>144.80000000000001</v>
      </c>
      <c r="Z161" s="1">
        <v>130.80000000000001</v>
      </c>
      <c r="AA161" s="1">
        <v>140.1</v>
      </c>
      <c r="AB161" s="1">
        <v>148</v>
      </c>
      <c r="AC161" s="1">
        <v>134.4</v>
      </c>
      <c r="AD161" s="1">
        <v>139.80000000000001</v>
      </c>
      <c r="AE161" s="1">
        <v>142.19999999999999</v>
      </c>
    </row>
    <row r="162" spans="1:31" x14ac:dyDescent="0.25">
      <c r="A162" s="1" t="s">
        <v>33</v>
      </c>
      <c r="B162" s="1">
        <v>2020</v>
      </c>
      <c r="C162" s="1" t="s">
        <v>31</v>
      </c>
      <c r="D162" s="1" t="s">
        <v>166</v>
      </c>
      <c r="E162" s="1">
        <v>145.6</v>
      </c>
      <c r="F162" s="1">
        <v>167.6</v>
      </c>
      <c r="G162" s="1">
        <v>157</v>
      </c>
      <c r="H162" s="1">
        <v>149.30000000000001</v>
      </c>
      <c r="I162" s="1">
        <v>126.3</v>
      </c>
      <c r="J162" s="1">
        <v>144.4</v>
      </c>
      <c r="K162" s="1">
        <v>207.8</v>
      </c>
      <c r="L162" s="1">
        <v>139.1</v>
      </c>
      <c r="M162" s="1">
        <v>114.8</v>
      </c>
      <c r="N162" s="1">
        <v>149.5</v>
      </c>
      <c r="O162" s="1">
        <v>131.1</v>
      </c>
      <c r="P162" s="1">
        <v>158.5</v>
      </c>
      <c r="Q162" s="1">
        <v>154.4</v>
      </c>
      <c r="R162" s="1">
        <v>170.8</v>
      </c>
      <c r="S162" s="1">
        <v>147</v>
      </c>
      <c r="T162" s="1">
        <v>133.19999999999999</v>
      </c>
      <c r="U162" s="1">
        <v>144.9</v>
      </c>
      <c r="V162" s="1">
        <v>153.9</v>
      </c>
      <c r="W162" s="1">
        <v>135.1</v>
      </c>
      <c r="X162" s="1">
        <v>140.1</v>
      </c>
      <c r="Y162" s="1">
        <v>143.80000000000001</v>
      </c>
      <c r="Z162" s="1">
        <v>126.1</v>
      </c>
      <c r="AA162" s="1">
        <v>137.19999999999999</v>
      </c>
      <c r="AB162" s="1">
        <v>152.1</v>
      </c>
      <c r="AC162" s="1">
        <v>142.1</v>
      </c>
      <c r="AD162" s="1">
        <v>138.4</v>
      </c>
      <c r="AE162" s="1">
        <v>148.19999999999999</v>
      </c>
    </row>
    <row r="163" spans="1:31" x14ac:dyDescent="0.25">
      <c r="A163" s="1" t="s">
        <v>30</v>
      </c>
      <c r="B163" s="1">
        <v>2019</v>
      </c>
      <c r="C163" s="1" t="s">
        <v>45</v>
      </c>
      <c r="D163" s="1" t="s">
        <v>165</v>
      </c>
      <c r="E163" s="1">
        <v>142.80000000000001</v>
      </c>
      <c r="F163" s="1">
        <v>165.3</v>
      </c>
      <c r="G163" s="1">
        <v>149.5</v>
      </c>
      <c r="H163" s="1">
        <v>148.69999999999999</v>
      </c>
      <c r="I163" s="1">
        <v>127.5</v>
      </c>
      <c r="J163" s="1">
        <v>144.30000000000001</v>
      </c>
      <c r="K163" s="1">
        <v>209.5</v>
      </c>
      <c r="L163" s="1">
        <v>138.80000000000001</v>
      </c>
      <c r="M163" s="1">
        <v>113.6</v>
      </c>
      <c r="N163" s="1">
        <v>149.1</v>
      </c>
      <c r="O163" s="1">
        <v>139.30000000000001</v>
      </c>
      <c r="P163" s="1">
        <v>158.30000000000001</v>
      </c>
      <c r="Q163" s="1">
        <v>154.30000000000001</v>
      </c>
      <c r="R163" s="1">
        <v>167.8</v>
      </c>
      <c r="S163" s="1">
        <v>152.6</v>
      </c>
      <c r="T163" s="1">
        <v>147.30000000000001</v>
      </c>
      <c r="U163" s="1">
        <v>151.9</v>
      </c>
      <c r="V163" s="14">
        <f>VLOOKUP($D163,Notes!$B$2:$C$229,2,0)</f>
        <v>152.80000000000001</v>
      </c>
      <c r="W163" s="1">
        <v>149.9</v>
      </c>
      <c r="X163" s="1">
        <v>151.19999999999999</v>
      </c>
      <c r="Y163" s="1">
        <v>154.80000000000001</v>
      </c>
      <c r="Z163" s="1">
        <v>135</v>
      </c>
      <c r="AA163" s="1">
        <v>149.5</v>
      </c>
      <c r="AB163" s="1">
        <v>161.1</v>
      </c>
      <c r="AC163" s="1">
        <v>140.6</v>
      </c>
      <c r="AD163" s="1">
        <v>147.1</v>
      </c>
      <c r="AE163" s="1">
        <v>152.30000000000001</v>
      </c>
    </row>
    <row r="164" spans="1:31" x14ac:dyDescent="0.25">
      <c r="A164" s="1" t="s">
        <v>30</v>
      </c>
      <c r="B164" s="1">
        <v>2017</v>
      </c>
      <c r="C164" s="1" t="s">
        <v>40</v>
      </c>
      <c r="D164" s="1" t="s">
        <v>137</v>
      </c>
      <c r="E164" s="1">
        <v>134</v>
      </c>
      <c r="F164" s="1">
        <v>144.19999999999999</v>
      </c>
      <c r="G164" s="1">
        <v>129.80000000000001</v>
      </c>
      <c r="H164" s="1">
        <v>139</v>
      </c>
      <c r="I164" s="1">
        <v>120.9</v>
      </c>
      <c r="J164" s="1">
        <v>143.9</v>
      </c>
      <c r="K164" s="1">
        <v>151.5</v>
      </c>
      <c r="L164" s="1">
        <v>138.1</v>
      </c>
      <c r="M164" s="1">
        <v>120</v>
      </c>
      <c r="N164" s="1">
        <v>133.9</v>
      </c>
      <c r="O164" s="1">
        <v>131.4</v>
      </c>
      <c r="P164" s="1">
        <v>147.69999999999999</v>
      </c>
      <c r="Q164" s="1">
        <v>138.5</v>
      </c>
      <c r="R164" s="1">
        <v>147.4</v>
      </c>
      <c r="S164" s="1">
        <v>144.30000000000001</v>
      </c>
      <c r="T164" s="1">
        <v>138.1</v>
      </c>
      <c r="U164" s="1">
        <v>143.5</v>
      </c>
      <c r="V164" s="14">
        <f>VLOOKUP($D164,Notes!$B$2:$C$229,2,0)</f>
        <v>132.6</v>
      </c>
      <c r="W164" s="1">
        <v>135.30000000000001</v>
      </c>
      <c r="X164" s="1">
        <v>136.1</v>
      </c>
      <c r="Y164" s="1">
        <v>132.1</v>
      </c>
      <c r="Z164" s="1">
        <v>119.1</v>
      </c>
      <c r="AA164" s="1">
        <v>130.6</v>
      </c>
      <c r="AB164" s="1">
        <v>138.6</v>
      </c>
      <c r="AC164" s="1">
        <v>124.4</v>
      </c>
      <c r="AD164" s="1">
        <v>128.6</v>
      </c>
      <c r="AE164" s="1">
        <v>136.19999999999999</v>
      </c>
    </row>
    <row r="165" spans="1:31" x14ac:dyDescent="0.25">
      <c r="A165" s="1" t="s">
        <v>30</v>
      </c>
      <c r="B165" s="1">
        <v>2018</v>
      </c>
      <c r="C165" s="1" t="s">
        <v>44</v>
      </c>
      <c r="D165" s="1" t="s">
        <v>153</v>
      </c>
      <c r="E165" s="1">
        <v>137.1</v>
      </c>
      <c r="F165" s="1">
        <v>150.80000000000001</v>
      </c>
      <c r="G165" s="1">
        <v>136.69999999999999</v>
      </c>
      <c r="H165" s="1">
        <v>141.9</v>
      </c>
      <c r="I165" s="1">
        <v>122.8</v>
      </c>
      <c r="J165" s="1">
        <v>143.9</v>
      </c>
      <c r="K165" s="1">
        <v>147.5</v>
      </c>
      <c r="L165" s="1">
        <v>121</v>
      </c>
      <c r="M165" s="1">
        <v>111.6</v>
      </c>
      <c r="N165" s="1">
        <v>140.6</v>
      </c>
      <c r="O165" s="1">
        <v>137.5</v>
      </c>
      <c r="P165" s="1">
        <v>156.1</v>
      </c>
      <c r="Q165" s="1">
        <v>140</v>
      </c>
      <c r="R165" s="1">
        <v>161.9</v>
      </c>
      <c r="S165" s="1">
        <v>151.69999999999999</v>
      </c>
      <c r="T165" s="1">
        <v>145.5</v>
      </c>
      <c r="U165" s="1">
        <v>150.80000000000001</v>
      </c>
      <c r="V165" s="14">
        <f>VLOOKUP($D165,Notes!$B$2:$C$229,2,0)</f>
        <v>146.9</v>
      </c>
      <c r="W165" s="1">
        <v>150.30000000000001</v>
      </c>
      <c r="X165" s="1">
        <v>148</v>
      </c>
      <c r="Y165" s="1">
        <v>145.4</v>
      </c>
      <c r="Z165" s="1">
        <v>130.30000000000001</v>
      </c>
      <c r="AA165" s="1">
        <v>143.1</v>
      </c>
      <c r="AB165" s="1">
        <v>150.19999999999999</v>
      </c>
      <c r="AC165" s="1">
        <v>133.1</v>
      </c>
      <c r="AD165" s="1">
        <v>140.1</v>
      </c>
      <c r="AE165" s="1">
        <v>142.4</v>
      </c>
    </row>
    <row r="166" spans="1:31" x14ac:dyDescent="0.25">
      <c r="A166" s="1" t="s">
        <v>30</v>
      </c>
      <c r="B166" s="1">
        <v>2019</v>
      </c>
      <c r="C166" s="1" t="s">
        <v>42</v>
      </c>
      <c r="D166" s="1" t="s">
        <v>162</v>
      </c>
      <c r="E166" s="1">
        <v>140.1</v>
      </c>
      <c r="F166" s="1">
        <v>161.9</v>
      </c>
      <c r="G166" s="1">
        <v>138.30000000000001</v>
      </c>
      <c r="H166" s="1">
        <v>145.69999999999999</v>
      </c>
      <c r="I166" s="1">
        <v>125.1</v>
      </c>
      <c r="J166" s="1">
        <v>143.80000000000001</v>
      </c>
      <c r="K166" s="1">
        <v>163.4</v>
      </c>
      <c r="L166" s="1">
        <v>132.19999999999999</v>
      </c>
      <c r="M166" s="1">
        <v>112.8</v>
      </c>
      <c r="N166" s="1">
        <v>144.19999999999999</v>
      </c>
      <c r="O166" s="1">
        <v>138.5</v>
      </c>
      <c r="P166" s="1">
        <v>157.19999999999999</v>
      </c>
      <c r="Q166" s="1">
        <v>145.5</v>
      </c>
      <c r="R166" s="1">
        <v>165.7</v>
      </c>
      <c r="S166" s="1">
        <v>151.69999999999999</v>
      </c>
      <c r="T166" s="1">
        <v>146.6</v>
      </c>
      <c r="U166" s="1">
        <v>151</v>
      </c>
      <c r="V166" s="14">
        <f>VLOOKUP($D166,Notes!$B$2:$C$229,2,0)</f>
        <v>152.19999999999999</v>
      </c>
      <c r="W166" s="1">
        <v>146.9</v>
      </c>
      <c r="X166" s="1">
        <v>150.30000000000001</v>
      </c>
      <c r="Y166" s="1">
        <v>153.4</v>
      </c>
      <c r="Z166" s="1">
        <v>131.6</v>
      </c>
      <c r="AA166" s="1">
        <v>148.30000000000001</v>
      </c>
      <c r="AB166" s="1">
        <v>160.19999999999999</v>
      </c>
      <c r="AC166" s="1">
        <v>140.19999999999999</v>
      </c>
      <c r="AD166" s="1">
        <v>145.4</v>
      </c>
      <c r="AE166" s="1">
        <v>146.69999999999999</v>
      </c>
    </row>
    <row r="167" spans="1:31" x14ac:dyDescent="0.25">
      <c r="A167" s="1" t="s">
        <v>30</v>
      </c>
      <c r="B167" s="1">
        <v>2019</v>
      </c>
      <c r="C167" s="1" t="s">
        <v>38</v>
      </c>
      <c r="D167" s="1" t="s">
        <v>158</v>
      </c>
      <c r="E167" s="1">
        <v>137.4</v>
      </c>
      <c r="F167" s="1">
        <v>159.5</v>
      </c>
      <c r="G167" s="1">
        <v>134.5</v>
      </c>
      <c r="H167" s="1">
        <v>142.6</v>
      </c>
      <c r="I167" s="1">
        <v>124</v>
      </c>
      <c r="J167" s="1">
        <v>143.69999999999999</v>
      </c>
      <c r="K167" s="1">
        <v>133.4</v>
      </c>
      <c r="L167" s="1">
        <v>125.1</v>
      </c>
      <c r="M167" s="1">
        <v>109.3</v>
      </c>
      <c r="N167" s="1">
        <v>139.30000000000001</v>
      </c>
      <c r="O167" s="1">
        <v>137.69999999999999</v>
      </c>
      <c r="P167" s="1">
        <v>156.4</v>
      </c>
      <c r="Q167" s="1">
        <v>139.19999999999999</v>
      </c>
      <c r="R167" s="1">
        <v>163.30000000000001</v>
      </c>
      <c r="S167" s="1">
        <v>151.30000000000001</v>
      </c>
      <c r="T167" s="1">
        <v>146.6</v>
      </c>
      <c r="U167" s="1">
        <v>150.69999999999999</v>
      </c>
      <c r="V167" s="14">
        <f>VLOOKUP($D167,Notes!$B$2:$C$229,2,0)</f>
        <v>150.1</v>
      </c>
      <c r="W167" s="1">
        <v>146.9</v>
      </c>
      <c r="X167" s="1">
        <v>149.5</v>
      </c>
      <c r="Y167" s="1">
        <v>151.30000000000001</v>
      </c>
      <c r="Z167" s="1">
        <v>130.19999999999999</v>
      </c>
      <c r="AA167" s="1">
        <v>145.9</v>
      </c>
      <c r="AB167" s="1">
        <v>156.69999999999999</v>
      </c>
      <c r="AC167" s="1">
        <v>133.9</v>
      </c>
      <c r="AD167" s="1">
        <v>142.9</v>
      </c>
      <c r="AE167" s="1">
        <v>142.4</v>
      </c>
    </row>
    <row r="168" spans="1:31" x14ac:dyDescent="0.25">
      <c r="A168" s="1" t="s">
        <v>30</v>
      </c>
      <c r="B168" s="1">
        <v>2019</v>
      </c>
      <c r="C168" s="1" t="s">
        <v>39</v>
      </c>
      <c r="D168" s="1" t="s">
        <v>159</v>
      </c>
      <c r="E168" s="1">
        <v>137.80000000000001</v>
      </c>
      <c r="F168" s="1">
        <v>163.5</v>
      </c>
      <c r="G168" s="1">
        <v>136.19999999999999</v>
      </c>
      <c r="H168" s="1">
        <v>143.19999999999999</v>
      </c>
      <c r="I168" s="1">
        <v>124.3</v>
      </c>
      <c r="J168" s="1">
        <v>143.30000000000001</v>
      </c>
      <c r="K168" s="1">
        <v>140.6</v>
      </c>
      <c r="L168" s="1">
        <v>128.69999999999999</v>
      </c>
      <c r="M168" s="1">
        <v>110.6</v>
      </c>
      <c r="N168" s="1">
        <v>140.4</v>
      </c>
      <c r="O168" s="1">
        <v>138</v>
      </c>
      <c r="P168" s="1">
        <v>156.6</v>
      </c>
      <c r="Q168" s="1">
        <v>141</v>
      </c>
      <c r="R168" s="1">
        <v>164.2</v>
      </c>
      <c r="S168" s="1">
        <v>151.4</v>
      </c>
      <c r="T168" s="1">
        <v>146.5</v>
      </c>
      <c r="U168" s="1">
        <v>150.69999999999999</v>
      </c>
      <c r="V168" s="14">
        <f>VLOOKUP($D168,Notes!$B$2:$C$229,2,0)</f>
        <v>149.4</v>
      </c>
      <c r="W168" s="1">
        <v>147.80000000000001</v>
      </c>
      <c r="X168" s="1">
        <v>149.6</v>
      </c>
      <c r="Y168" s="1">
        <v>151.69999999999999</v>
      </c>
      <c r="Z168" s="1">
        <v>130.19999999999999</v>
      </c>
      <c r="AA168" s="1">
        <v>146.4</v>
      </c>
      <c r="AB168" s="1">
        <v>157.69999999999999</v>
      </c>
      <c r="AC168" s="1">
        <v>134.80000000000001</v>
      </c>
      <c r="AD168" s="1">
        <v>143.30000000000001</v>
      </c>
      <c r="AE168" s="1">
        <v>143.6</v>
      </c>
    </row>
    <row r="169" spans="1:31" x14ac:dyDescent="0.25">
      <c r="A169" s="1" t="s">
        <v>33</v>
      </c>
      <c r="B169" s="1">
        <v>2020</v>
      </c>
      <c r="C169" s="1" t="s">
        <v>36</v>
      </c>
      <c r="D169" s="1" t="s">
        <v>168</v>
      </c>
      <c r="E169" s="1">
        <v>146.5</v>
      </c>
      <c r="F169" s="1">
        <v>167.5</v>
      </c>
      <c r="G169" s="1">
        <v>148.9</v>
      </c>
      <c r="H169" s="1">
        <v>151.1</v>
      </c>
      <c r="I169" s="1">
        <v>127.5</v>
      </c>
      <c r="J169" s="1">
        <v>143.30000000000001</v>
      </c>
      <c r="K169" s="1">
        <v>167</v>
      </c>
      <c r="L169" s="1">
        <v>139.69999999999999</v>
      </c>
      <c r="M169" s="1">
        <v>114.4</v>
      </c>
      <c r="N169" s="1">
        <v>151.5</v>
      </c>
      <c r="O169" s="1">
        <v>131.9</v>
      </c>
      <c r="P169" s="1">
        <v>159.1</v>
      </c>
      <c r="Q169" s="1">
        <v>150.1</v>
      </c>
      <c r="R169" s="1">
        <v>173.3</v>
      </c>
      <c r="S169" s="1">
        <v>147.69999999999999</v>
      </c>
      <c r="T169" s="1">
        <v>133.80000000000001</v>
      </c>
      <c r="U169" s="1">
        <v>145.6</v>
      </c>
      <c r="V169" s="1">
        <v>154.5</v>
      </c>
      <c r="W169" s="1">
        <v>141.4</v>
      </c>
      <c r="X169" s="1">
        <v>140.80000000000001</v>
      </c>
      <c r="Y169" s="1">
        <v>145</v>
      </c>
      <c r="Z169" s="1">
        <v>124.6</v>
      </c>
      <c r="AA169" s="1">
        <v>137.9</v>
      </c>
      <c r="AB169" s="1">
        <v>152.5</v>
      </c>
      <c r="AC169" s="1">
        <v>145.30000000000001</v>
      </c>
      <c r="AD169" s="1">
        <v>138.69999999999999</v>
      </c>
      <c r="AE169" s="1">
        <v>147.30000000000001</v>
      </c>
    </row>
    <row r="170" spans="1:31" x14ac:dyDescent="0.25">
      <c r="A170" s="1" t="s">
        <v>34</v>
      </c>
      <c r="B170" s="1">
        <v>2020</v>
      </c>
      <c r="C170" s="1" t="s">
        <v>31</v>
      </c>
      <c r="D170" s="1" t="s">
        <v>166</v>
      </c>
      <c r="E170" s="1">
        <v>144.30000000000001</v>
      </c>
      <c r="F170" s="1">
        <v>167.4</v>
      </c>
      <c r="G170" s="1">
        <v>154.9</v>
      </c>
      <c r="H170" s="1">
        <v>150.1</v>
      </c>
      <c r="I170" s="1">
        <v>129.9</v>
      </c>
      <c r="J170" s="1">
        <v>143.19999999999999</v>
      </c>
      <c r="K170" s="1">
        <v>197</v>
      </c>
      <c r="L170" s="1">
        <v>140.4</v>
      </c>
      <c r="M170" s="1">
        <v>114.1</v>
      </c>
      <c r="N170" s="1">
        <v>150.9</v>
      </c>
      <c r="O170" s="1">
        <v>136.1</v>
      </c>
      <c r="P170" s="1">
        <v>158.6</v>
      </c>
      <c r="Q170" s="1">
        <v>153.5</v>
      </c>
      <c r="R170" s="1">
        <v>169.2</v>
      </c>
      <c r="S170" s="1">
        <v>150.5</v>
      </c>
      <c r="T170" s="1">
        <v>141.5</v>
      </c>
      <c r="U170" s="1">
        <v>149.19999999999999</v>
      </c>
      <c r="V170" s="1">
        <v>153.9</v>
      </c>
      <c r="W170" s="1">
        <v>144.6</v>
      </c>
      <c r="X170" s="1">
        <v>146.19999999999999</v>
      </c>
      <c r="Y170" s="1">
        <v>151.19999999999999</v>
      </c>
      <c r="Z170" s="1">
        <v>130.9</v>
      </c>
      <c r="AA170" s="1">
        <v>142.80000000000001</v>
      </c>
      <c r="AB170" s="1">
        <v>156.1</v>
      </c>
      <c r="AC170" s="1">
        <v>142.30000000000001</v>
      </c>
      <c r="AD170" s="1">
        <v>143.4</v>
      </c>
      <c r="AE170" s="1">
        <v>150.19999999999999</v>
      </c>
    </row>
    <row r="171" spans="1:31" x14ac:dyDescent="0.25">
      <c r="A171" s="1" t="s">
        <v>30</v>
      </c>
      <c r="B171" s="1">
        <v>2020</v>
      </c>
      <c r="C171" s="1" t="s">
        <v>39</v>
      </c>
      <c r="D171" s="1" t="s">
        <v>171</v>
      </c>
      <c r="E171" s="1">
        <v>148.19999999999999</v>
      </c>
      <c r="F171" s="1">
        <v>190.3</v>
      </c>
      <c r="G171" s="1">
        <v>149.4</v>
      </c>
      <c r="H171" s="1">
        <v>153.30000000000001</v>
      </c>
      <c r="I171" s="1">
        <v>138.19999999999999</v>
      </c>
      <c r="J171" s="1">
        <v>143.19999999999999</v>
      </c>
      <c r="K171" s="1">
        <v>148.9</v>
      </c>
      <c r="L171" s="1">
        <v>150.30000000000001</v>
      </c>
      <c r="M171" s="1">
        <v>113.2</v>
      </c>
      <c r="N171" s="1">
        <v>159.80000000000001</v>
      </c>
      <c r="O171" s="1">
        <v>142.1</v>
      </c>
      <c r="P171" s="1">
        <v>161.80000000000001</v>
      </c>
      <c r="Q171" s="1">
        <v>152.30000000000001</v>
      </c>
      <c r="R171" s="1">
        <v>182.4</v>
      </c>
      <c r="S171" s="1">
        <v>154.69999999999999</v>
      </c>
      <c r="T171" s="1">
        <v>150</v>
      </c>
      <c r="U171" s="1">
        <v>154.1</v>
      </c>
      <c r="V171" s="14">
        <f>VLOOKUP($D171,Notes!$B$2:$C$229,2,0)</f>
        <v>154.69999999999999</v>
      </c>
      <c r="W171" s="1">
        <v>144.9</v>
      </c>
      <c r="X171" s="1">
        <v>151.69999999999999</v>
      </c>
      <c r="Y171" s="1">
        <v>158.19999999999999</v>
      </c>
      <c r="Z171" s="1">
        <v>141.4</v>
      </c>
      <c r="AA171" s="1">
        <v>153.19999999999999</v>
      </c>
      <c r="AB171" s="1">
        <v>161.80000000000001</v>
      </c>
      <c r="AC171" s="1">
        <v>151.19999999999999</v>
      </c>
      <c r="AD171" s="1">
        <v>151.69999999999999</v>
      </c>
      <c r="AE171" s="1">
        <v>152.69999999999999</v>
      </c>
    </row>
    <row r="172" spans="1:31" x14ac:dyDescent="0.25">
      <c r="A172" s="1" t="s">
        <v>30</v>
      </c>
      <c r="B172" s="1">
        <v>2020</v>
      </c>
      <c r="C172" s="1" t="s">
        <v>40</v>
      </c>
      <c r="D172" s="1" t="s">
        <v>172</v>
      </c>
      <c r="E172" s="1">
        <v>148.19999999999999</v>
      </c>
      <c r="F172" s="1">
        <v>190.3</v>
      </c>
      <c r="G172" s="1">
        <v>149.4</v>
      </c>
      <c r="H172" s="1">
        <v>153.30000000000001</v>
      </c>
      <c r="I172" s="1">
        <v>138.19999999999999</v>
      </c>
      <c r="J172" s="1">
        <v>143.19999999999999</v>
      </c>
      <c r="K172" s="1">
        <v>148.9</v>
      </c>
      <c r="L172" s="1">
        <v>150.30000000000001</v>
      </c>
      <c r="M172" s="1">
        <v>113.2</v>
      </c>
      <c r="N172" s="1">
        <v>159.80000000000001</v>
      </c>
      <c r="O172" s="1">
        <v>142.1</v>
      </c>
      <c r="P172" s="1">
        <v>161.80000000000001</v>
      </c>
      <c r="Q172" s="1">
        <v>152.30000000000001</v>
      </c>
      <c r="R172" s="1">
        <v>182.4</v>
      </c>
      <c r="S172" s="1">
        <v>154.69999999999999</v>
      </c>
      <c r="T172" s="1">
        <v>150</v>
      </c>
      <c r="U172" s="1">
        <v>154.1</v>
      </c>
      <c r="V172" s="14">
        <f>VLOOKUP($D172,Notes!$B$2:$C$229,2,0)</f>
        <v>154.69999999999999</v>
      </c>
      <c r="W172" s="1">
        <v>144.9</v>
      </c>
      <c r="X172" s="1">
        <v>151.69999999999999</v>
      </c>
      <c r="Y172" s="1">
        <v>158.19999999999999</v>
      </c>
      <c r="Z172" s="1">
        <v>141.4</v>
      </c>
      <c r="AA172" s="1">
        <v>153.19999999999999</v>
      </c>
      <c r="AB172" s="1">
        <v>161.80000000000001</v>
      </c>
      <c r="AC172" s="1">
        <v>151.19999999999999</v>
      </c>
      <c r="AD172" s="1">
        <v>151.69999999999999</v>
      </c>
      <c r="AE172" s="1">
        <v>152.69999999999999</v>
      </c>
    </row>
    <row r="173" spans="1:31" x14ac:dyDescent="0.25">
      <c r="A173" s="1" t="s">
        <v>33</v>
      </c>
      <c r="B173" s="1">
        <v>2020</v>
      </c>
      <c r="C173" s="1" t="s">
        <v>35</v>
      </c>
      <c r="D173" s="1" t="s">
        <v>167</v>
      </c>
      <c r="E173" s="1">
        <v>146.19999999999999</v>
      </c>
      <c r="F173" s="1">
        <v>167.6</v>
      </c>
      <c r="G173" s="1">
        <v>153.1</v>
      </c>
      <c r="H173" s="1">
        <v>150.69999999999999</v>
      </c>
      <c r="I173" s="1">
        <v>127.4</v>
      </c>
      <c r="J173" s="1">
        <v>143.1</v>
      </c>
      <c r="K173" s="1">
        <v>181.7</v>
      </c>
      <c r="L173" s="1">
        <v>139.6</v>
      </c>
      <c r="M173" s="1">
        <v>114.6</v>
      </c>
      <c r="N173" s="1">
        <v>150.4</v>
      </c>
      <c r="O173" s="1">
        <v>131.5</v>
      </c>
      <c r="P173" s="1">
        <v>159</v>
      </c>
      <c r="Q173" s="1">
        <v>151.69999999999999</v>
      </c>
      <c r="R173" s="1">
        <v>172</v>
      </c>
      <c r="S173" s="1">
        <v>147.30000000000001</v>
      </c>
      <c r="T173" s="1">
        <v>133.5</v>
      </c>
      <c r="U173" s="1">
        <v>145.19999999999999</v>
      </c>
      <c r="V173" s="1">
        <v>154.80000000000001</v>
      </c>
      <c r="W173" s="1">
        <v>138.9</v>
      </c>
      <c r="X173" s="1">
        <v>140.4</v>
      </c>
      <c r="Y173" s="1">
        <v>144.4</v>
      </c>
      <c r="Z173" s="1">
        <v>125.2</v>
      </c>
      <c r="AA173" s="1">
        <v>137.69999999999999</v>
      </c>
      <c r="AB173" s="1">
        <v>152.19999999999999</v>
      </c>
      <c r="AC173" s="1">
        <v>143.5</v>
      </c>
      <c r="AD173" s="1">
        <v>138.4</v>
      </c>
      <c r="AE173" s="1">
        <v>147.69999999999999</v>
      </c>
    </row>
    <row r="174" spans="1:31" x14ac:dyDescent="0.25">
      <c r="A174" s="1" t="s">
        <v>34</v>
      </c>
      <c r="B174" s="1">
        <v>2017</v>
      </c>
      <c r="C174" s="1" t="s">
        <v>42</v>
      </c>
      <c r="D174" s="1" t="s">
        <v>139</v>
      </c>
      <c r="E174" s="1">
        <v>134.69999999999999</v>
      </c>
      <c r="F174" s="1">
        <v>142.4</v>
      </c>
      <c r="G174" s="1">
        <v>130.19999999999999</v>
      </c>
      <c r="H174" s="1">
        <v>139.6</v>
      </c>
      <c r="I174" s="1">
        <v>118.4</v>
      </c>
      <c r="J174" s="1">
        <v>143</v>
      </c>
      <c r="K174" s="1">
        <v>156.6</v>
      </c>
      <c r="L174" s="1">
        <v>132.9</v>
      </c>
      <c r="M174" s="1">
        <v>121.5</v>
      </c>
      <c r="N174" s="1">
        <v>135.6</v>
      </c>
      <c r="O174" s="1">
        <v>128.80000000000001</v>
      </c>
      <c r="P174" s="1">
        <v>147.30000000000001</v>
      </c>
      <c r="Q174" s="1">
        <v>139</v>
      </c>
      <c r="R174" s="1">
        <v>150.80000000000001</v>
      </c>
      <c r="S174" s="1">
        <v>141.1</v>
      </c>
      <c r="T174" s="1">
        <v>133.4</v>
      </c>
      <c r="U174" s="1">
        <v>140</v>
      </c>
      <c r="V174" s="1">
        <v>135.69999999999999</v>
      </c>
      <c r="W174" s="1">
        <v>131</v>
      </c>
      <c r="X174" s="1">
        <v>133.30000000000001</v>
      </c>
      <c r="Y174" s="1">
        <v>130.6</v>
      </c>
      <c r="Z174" s="1">
        <v>118.3</v>
      </c>
      <c r="AA174" s="1">
        <v>127.9</v>
      </c>
      <c r="AB174" s="1">
        <v>137.4</v>
      </c>
      <c r="AC174" s="1">
        <v>125.7</v>
      </c>
      <c r="AD174" s="1">
        <v>127.5</v>
      </c>
      <c r="AE174" s="1">
        <v>135.19999999999999</v>
      </c>
    </row>
    <row r="175" spans="1:31" x14ac:dyDescent="0.25">
      <c r="A175" s="1" t="s">
        <v>34</v>
      </c>
      <c r="B175" s="1">
        <v>2018</v>
      </c>
      <c r="C175" s="1" t="s">
        <v>35</v>
      </c>
      <c r="D175" s="1" t="s">
        <v>144</v>
      </c>
      <c r="E175" s="1">
        <v>135.9</v>
      </c>
      <c r="F175" s="1">
        <v>143.5</v>
      </c>
      <c r="G175" s="1">
        <v>140.30000000000001</v>
      </c>
      <c r="H175" s="1">
        <v>140.9</v>
      </c>
      <c r="I175" s="1">
        <v>120.4</v>
      </c>
      <c r="J175" s="1">
        <v>142.9</v>
      </c>
      <c r="K175" s="1">
        <v>140.5</v>
      </c>
      <c r="L175" s="1">
        <v>125.8</v>
      </c>
      <c r="M175" s="1">
        <v>117.1</v>
      </c>
      <c r="N175" s="1">
        <v>137.30000000000001</v>
      </c>
      <c r="O175" s="1">
        <v>128.6</v>
      </c>
      <c r="P175" s="1">
        <v>149.6</v>
      </c>
      <c r="Q175" s="1">
        <v>137.6</v>
      </c>
      <c r="R175" s="1">
        <v>154.9</v>
      </c>
      <c r="S175" s="1">
        <v>143.80000000000001</v>
      </c>
      <c r="T175" s="1">
        <v>135.6</v>
      </c>
      <c r="U175" s="1">
        <v>142.6</v>
      </c>
      <c r="V175" s="1">
        <v>141.30000000000001</v>
      </c>
      <c r="W175" s="1">
        <v>136.69999999999999</v>
      </c>
      <c r="X175" s="1">
        <v>135.19999999999999</v>
      </c>
      <c r="Y175" s="1">
        <v>133.80000000000001</v>
      </c>
      <c r="Z175" s="1">
        <v>120.2</v>
      </c>
      <c r="AA175" s="1">
        <v>129.9</v>
      </c>
      <c r="AB175" s="1">
        <v>139</v>
      </c>
      <c r="AC175" s="1">
        <v>127.7</v>
      </c>
      <c r="AD175" s="1">
        <v>129.6</v>
      </c>
      <c r="AE175" s="1">
        <v>136.4</v>
      </c>
    </row>
    <row r="176" spans="1:31" x14ac:dyDescent="0.25">
      <c r="A176" s="1" t="s">
        <v>34</v>
      </c>
      <c r="B176" s="1">
        <v>2018</v>
      </c>
      <c r="C176" s="1" t="s">
        <v>44</v>
      </c>
      <c r="D176" s="1" t="s">
        <v>153</v>
      </c>
      <c r="E176" s="1">
        <v>137.4</v>
      </c>
      <c r="F176" s="1">
        <v>149.19999999999999</v>
      </c>
      <c r="G176" s="1">
        <v>137.1</v>
      </c>
      <c r="H176" s="1">
        <v>141.80000000000001</v>
      </c>
      <c r="I176" s="1">
        <v>121.1</v>
      </c>
      <c r="J176" s="1">
        <v>142.80000000000001</v>
      </c>
      <c r="K176" s="1">
        <v>146.69999999999999</v>
      </c>
      <c r="L176" s="1">
        <v>119.1</v>
      </c>
      <c r="M176" s="1">
        <v>111.9</v>
      </c>
      <c r="N176" s="1">
        <v>140.9</v>
      </c>
      <c r="O176" s="1">
        <v>133.5</v>
      </c>
      <c r="P176" s="1">
        <v>154.5</v>
      </c>
      <c r="Q176" s="1">
        <v>139.69999999999999</v>
      </c>
      <c r="R176" s="1">
        <v>162.6</v>
      </c>
      <c r="S176" s="1">
        <v>148</v>
      </c>
      <c r="T176" s="1">
        <v>139.1</v>
      </c>
      <c r="U176" s="1">
        <v>146.69999999999999</v>
      </c>
      <c r="V176" s="1">
        <v>146.9</v>
      </c>
      <c r="W176" s="1">
        <v>145.1</v>
      </c>
      <c r="X176" s="1">
        <v>142.19999999999999</v>
      </c>
      <c r="Y176" s="1">
        <v>142.1</v>
      </c>
      <c r="Z176" s="1">
        <v>125.5</v>
      </c>
      <c r="AA176" s="1">
        <v>136.5</v>
      </c>
      <c r="AB176" s="1">
        <v>147.80000000000001</v>
      </c>
      <c r="AC176" s="1">
        <v>132</v>
      </c>
      <c r="AD176" s="1">
        <v>136.30000000000001</v>
      </c>
      <c r="AE176" s="1">
        <v>140.80000000000001</v>
      </c>
    </row>
    <row r="177" spans="1:31" x14ac:dyDescent="0.25">
      <c r="A177" s="1" t="s">
        <v>33</v>
      </c>
      <c r="B177" s="1">
        <v>2017</v>
      </c>
      <c r="C177" s="1" t="s">
        <v>41</v>
      </c>
      <c r="D177" s="1" t="s">
        <v>138</v>
      </c>
      <c r="E177" s="1">
        <v>133.19999999999999</v>
      </c>
      <c r="F177" s="1">
        <v>143.9</v>
      </c>
      <c r="G177" s="1">
        <v>128.30000000000001</v>
      </c>
      <c r="H177" s="1">
        <v>138.30000000000001</v>
      </c>
      <c r="I177" s="1">
        <v>114.1</v>
      </c>
      <c r="J177" s="1">
        <v>142.69999999999999</v>
      </c>
      <c r="K177" s="1">
        <v>179.8</v>
      </c>
      <c r="L177" s="1">
        <v>123.5</v>
      </c>
      <c r="M177" s="1">
        <v>122.1</v>
      </c>
      <c r="N177" s="1">
        <v>137.5</v>
      </c>
      <c r="O177" s="1">
        <v>124.6</v>
      </c>
      <c r="P177" s="1">
        <v>144.5</v>
      </c>
      <c r="Q177" s="1">
        <v>140.5</v>
      </c>
      <c r="R177" s="1">
        <v>152.1</v>
      </c>
      <c r="S177" s="1">
        <v>132.69999999999999</v>
      </c>
      <c r="T177" s="1">
        <v>124.3</v>
      </c>
      <c r="U177" s="1">
        <v>131.4</v>
      </c>
      <c r="V177" s="1">
        <v>134.4</v>
      </c>
      <c r="W177" s="1">
        <v>118.9</v>
      </c>
      <c r="X177" s="1">
        <v>127.7</v>
      </c>
      <c r="Y177" s="1">
        <v>125.7</v>
      </c>
      <c r="Z177" s="1">
        <v>114.6</v>
      </c>
      <c r="AA177" s="1">
        <v>124.1</v>
      </c>
      <c r="AB177" s="1">
        <v>135.69999999999999</v>
      </c>
      <c r="AC177" s="1">
        <v>123.3</v>
      </c>
      <c r="AD177" s="1">
        <v>123.8</v>
      </c>
      <c r="AE177" s="1">
        <v>132.69999999999999</v>
      </c>
    </row>
    <row r="178" spans="1:31" x14ac:dyDescent="0.25">
      <c r="A178" s="1" t="s">
        <v>34</v>
      </c>
      <c r="B178" s="1">
        <v>2018</v>
      </c>
      <c r="C178" s="1" t="s">
        <v>43</v>
      </c>
      <c r="D178" s="1" t="s">
        <v>152</v>
      </c>
      <c r="E178" s="1">
        <v>137.4</v>
      </c>
      <c r="F178" s="1">
        <v>149.5</v>
      </c>
      <c r="G178" s="1">
        <v>137.30000000000001</v>
      </c>
      <c r="H178" s="1">
        <v>141.9</v>
      </c>
      <c r="I178" s="1">
        <v>121.1</v>
      </c>
      <c r="J178" s="1">
        <v>142.5</v>
      </c>
      <c r="K178" s="1">
        <v>146.69999999999999</v>
      </c>
      <c r="L178" s="1">
        <v>119.1</v>
      </c>
      <c r="M178" s="1">
        <v>111.9</v>
      </c>
      <c r="N178" s="1">
        <v>141</v>
      </c>
      <c r="O178" s="1">
        <v>133.6</v>
      </c>
      <c r="P178" s="1">
        <v>154.5</v>
      </c>
      <c r="Q178" s="1">
        <v>139.69999999999999</v>
      </c>
      <c r="R178" s="1">
        <v>162.6</v>
      </c>
      <c r="S178" s="1">
        <v>148</v>
      </c>
      <c r="T178" s="1">
        <v>139.19999999999999</v>
      </c>
      <c r="U178" s="1">
        <v>146.80000000000001</v>
      </c>
      <c r="V178" s="1">
        <v>146.9</v>
      </c>
      <c r="W178" s="1">
        <v>145.30000000000001</v>
      </c>
      <c r="X178" s="1">
        <v>142.19999999999999</v>
      </c>
      <c r="Y178" s="1">
        <v>142.1</v>
      </c>
      <c r="Z178" s="1">
        <v>125.5</v>
      </c>
      <c r="AA178" s="1">
        <v>136.5</v>
      </c>
      <c r="AB178" s="1">
        <v>147.80000000000001</v>
      </c>
      <c r="AC178" s="1">
        <v>132</v>
      </c>
      <c r="AD178" s="1">
        <v>136.30000000000001</v>
      </c>
      <c r="AE178" s="1">
        <v>140.80000000000001</v>
      </c>
    </row>
    <row r="179" spans="1:31" x14ac:dyDescent="0.25">
      <c r="A179" s="1" t="s">
        <v>34</v>
      </c>
      <c r="B179" s="1">
        <v>2020</v>
      </c>
      <c r="C179" s="1" t="s">
        <v>36</v>
      </c>
      <c r="D179" s="1" t="s">
        <v>168</v>
      </c>
      <c r="E179" s="1">
        <v>145.1</v>
      </c>
      <c r="F179" s="1">
        <v>167</v>
      </c>
      <c r="G179" s="1">
        <v>148.1</v>
      </c>
      <c r="H179" s="1">
        <v>151.5</v>
      </c>
      <c r="I179" s="1">
        <v>131.19999999999999</v>
      </c>
      <c r="J179" s="1">
        <v>142.5</v>
      </c>
      <c r="K179" s="1">
        <v>157.30000000000001</v>
      </c>
      <c r="L179" s="1">
        <v>141.1</v>
      </c>
      <c r="M179" s="1">
        <v>113.2</v>
      </c>
      <c r="N179" s="1">
        <v>153.19999999999999</v>
      </c>
      <c r="O179" s="1">
        <v>136.69999999999999</v>
      </c>
      <c r="P179" s="1">
        <v>159.6</v>
      </c>
      <c r="Q179" s="1">
        <v>148.9</v>
      </c>
      <c r="R179" s="1">
        <v>171.2</v>
      </c>
      <c r="S179" s="1">
        <v>151.19999999999999</v>
      </c>
      <c r="T179" s="1">
        <v>141.9</v>
      </c>
      <c r="U179" s="1">
        <v>149.80000000000001</v>
      </c>
      <c r="V179" s="1">
        <v>154.5</v>
      </c>
      <c r="W179" s="1">
        <v>148.9</v>
      </c>
      <c r="X179" s="1">
        <v>146.4</v>
      </c>
      <c r="Y179" s="1">
        <v>152.30000000000001</v>
      </c>
      <c r="Z179" s="1">
        <v>129.9</v>
      </c>
      <c r="AA179" s="1">
        <v>143.69999999999999</v>
      </c>
      <c r="AB179" s="1">
        <v>156.1</v>
      </c>
      <c r="AC179" s="1">
        <v>145.19999999999999</v>
      </c>
      <c r="AD179" s="1">
        <v>143.80000000000001</v>
      </c>
      <c r="AE179" s="1">
        <v>148.6</v>
      </c>
    </row>
    <row r="180" spans="1:31" x14ac:dyDescent="0.25">
      <c r="A180" s="1" t="s">
        <v>34</v>
      </c>
      <c r="B180" s="1">
        <v>2017</v>
      </c>
      <c r="C180" s="1" t="s">
        <v>44</v>
      </c>
      <c r="D180" s="1" t="s">
        <v>141</v>
      </c>
      <c r="E180" s="1">
        <v>135.69999999999999</v>
      </c>
      <c r="F180" s="1">
        <v>142.4</v>
      </c>
      <c r="G180" s="1">
        <v>142.9</v>
      </c>
      <c r="H180" s="1">
        <v>140.80000000000001</v>
      </c>
      <c r="I180" s="1">
        <v>119.2</v>
      </c>
      <c r="J180" s="1">
        <v>142.19999999999999</v>
      </c>
      <c r="K180" s="1">
        <v>173.8</v>
      </c>
      <c r="L180" s="1">
        <v>131.19999999999999</v>
      </c>
      <c r="M180" s="1">
        <v>123</v>
      </c>
      <c r="N180" s="1">
        <v>136.80000000000001</v>
      </c>
      <c r="O180" s="1">
        <v>129.19999999999999</v>
      </c>
      <c r="P180" s="1">
        <v>148.9</v>
      </c>
      <c r="Q180" s="1">
        <v>142.1</v>
      </c>
      <c r="R180" s="1">
        <v>153.19999999999999</v>
      </c>
      <c r="S180" s="1">
        <v>143</v>
      </c>
      <c r="T180" s="1">
        <v>134.80000000000001</v>
      </c>
      <c r="U180" s="1">
        <v>141.80000000000001</v>
      </c>
      <c r="V180" s="1">
        <v>138.6</v>
      </c>
      <c r="W180" s="1">
        <v>135.30000000000001</v>
      </c>
      <c r="X180" s="1">
        <v>134.4</v>
      </c>
      <c r="Y180" s="1">
        <v>132.6</v>
      </c>
      <c r="Z180" s="1">
        <v>118.3</v>
      </c>
      <c r="AA180" s="1">
        <v>128.9</v>
      </c>
      <c r="AB180" s="1">
        <v>138.6</v>
      </c>
      <c r="AC180" s="1">
        <v>126.8</v>
      </c>
      <c r="AD180" s="1">
        <v>128.4</v>
      </c>
      <c r="AE180" s="1">
        <v>137.6</v>
      </c>
    </row>
    <row r="181" spans="1:31" x14ac:dyDescent="0.25">
      <c r="A181" s="1" t="s">
        <v>30</v>
      </c>
      <c r="B181" s="1">
        <v>2020</v>
      </c>
      <c r="C181" s="1" t="s">
        <v>31</v>
      </c>
      <c r="D181" s="1" t="s">
        <v>166</v>
      </c>
      <c r="E181" s="1">
        <v>143.69999999999999</v>
      </c>
      <c r="F181" s="1">
        <v>167.3</v>
      </c>
      <c r="G181" s="1">
        <v>153.5</v>
      </c>
      <c r="H181" s="1">
        <v>150.5</v>
      </c>
      <c r="I181" s="1">
        <v>132</v>
      </c>
      <c r="J181" s="1">
        <v>142.19999999999999</v>
      </c>
      <c r="K181" s="1">
        <v>191.5</v>
      </c>
      <c r="L181" s="1">
        <v>141.1</v>
      </c>
      <c r="M181" s="1">
        <v>113.8</v>
      </c>
      <c r="N181" s="1">
        <v>151.6</v>
      </c>
      <c r="O181" s="1">
        <v>139.69999999999999</v>
      </c>
      <c r="P181" s="1">
        <v>158.69999999999999</v>
      </c>
      <c r="Q181" s="1">
        <v>153</v>
      </c>
      <c r="R181" s="1">
        <v>168.6</v>
      </c>
      <c r="S181" s="1">
        <v>152.80000000000001</v>
      </c>
      <c r="T181" s="1">
        <v>147.4</v>
      </c>
      <c r="U181" s="1">
        <v>152.1</v>
      </c>
      <c r="V181" s="14">
        <f>VLOOKUP($D181,Notes!$B$2:$C$229,2,0)</f>
        <v>153.9</v>
      </c>
      <c r="W181" s="1">
        <v>150.4</v>
      </c>
      <c r="X181" s="1">
        <v>151.69999999999999</v>
      </c>
      <c r="Y181" s="1">
        <v>155.69999999999999</v>
      </c>
      <c r="Z181" s="1">
        <v>136.30000000000001</v>
      </c>
      <c r="AA181" s="1">
        <v>150.1</v>
      </c>
      <c r="AB181" s="1">
        <v>161.69999999999999</v>
      </c>
      <c r="AC181" s="1">
        <v>142.5</v>
      </c>
      <c r="AD181" s="1">
        <v>148.1</v>
      </c>
      <c r="AE181" s="1">
        <v>151.9</v>
      </c>
    </row>
    <row r="182" spans="1:31" x14ac:dyDescent="0.25">
      <c r="A182" s="1" t="s">
        <v>30</v>
      </c>
      <c r="B182" s="1">
        <v>2017</v>
      </c>
      <c r="C182" s="1" t="s">
        <v>37</v>
      </c>
      <c r="D182" s="1" t="s">
        <v>134</v>
      </c>
      <c r="E182" s="1">
        <v>133.19999999999999</v>
      </c>
      <c r="F182" s="1">
        <v>138.69999999999999</v>
      </c>
      <c r="G182" s="1">
        <v>127.1</v>
      </c>
      <c r="H182" s="1">
        <v>137.69999999999999</v>
      </c>
      <c r="I182" s="1">
        <v>121.3</v>
      </c>
      <c r="J182" s="1">
        <v>141.80000000000001</v>
      </c>
      <c r="K182" s="1">
        <v>121.5</v>
      </c>
      <c r="L182" s="1">
        <v>144.5</v>
      </c>
      <c r="M182" s="1">
        <v>117.4</v>
      </c>
      <c r="N182" s="1">
        <v>134.1</v>
      </c>
      <c r="O182" s="1">
        <v>130</v>
      </c>
      <c r="P182" s="1">
        <v>145.5</v>
      </c>
      <c r="Q182" s="1">
        <v>133.5</v>
      </c>
      <c r="R182" s="1">
        <v>144.4</v>
      </c>
      <c r="S182" s="1">
        <v>142.4</v>
      </c>
      <c r="T182" s="1">
        <v>136.80000000000001</v>
      </c>
      <c r="U182" s="1">
        <v>141.6</v>
      </c>
      <c r="V182" s="14">
        <f>VLOOKUP($D182,Notes!$B$2:$C$229,2,0)</f>
        <v>131.69999999999999</v>
      </c>
      <c r="W182" s="1">
        <v>135</v>
      </c>
      <c r="X182" s="1">
        <v>134.30000000000001</v>
      </c>
      <c r="Y182" s="1">
        <v>131</v>
      </c>
      <c r="Z182" s="1">
        <v>119.2</v>
      </c>
      <c r="AA182" s="1">
        <v>128.30000000000001</v>
      </c>
      <c r="AB182" s="1">
        <v>135.69999999999999</v>
      </c>
      <c r="AC182" s="1">
        <v>123.7</v>
      </c>
      <c r="AD182" s="1">
        <v>127.5</v>
      </c>
      <c r="AE182" s="1">
        <v>132.9</v>
      </c>
    </row>
    <row r="183" spans="1:31" x14ac:dyDescent="0.25">
      <c r="A183" s="1" t="s">
        <v>34</v>
      </c>
      <c r="B183" s="1">
        <v>2017</v>
      </c>
      <c r="C183" s="1" t="s">
        <v>40</v>
      </c>
      <c r="D183" s="1" t="s">
        <v>137</v>
      </c>
      <c r="E183" s="1">
        <v>133.6</v>
      </c>
      <c r="F183" s="1">
        <v>145.69999999999999</v>
      </c>
      <c r="G183" s="1">
        <v>129.6</v>
      </c>
      <c r="H183" s="1">
        <v>138.5</v>
      </c>
      <c r="I183" s="1">
        <v>118.1</v>
      </c>
      <c r="J183" s="1">
        <v>141.80000000000001</v>
      </c>
      <c r="K183" s="1">
        <v>159.5</v>
      </c>
      <c r="L183" s="1">
        <v>133.6</v>
      </c>
      <c r="M183" s="1">
        <v>120.5</v>
      </c>
      <c r="N183" s="1">
        <v>135.19999999999999</v>
      </c>
      <c r="O183" s="1">
        <v>128.5</v>
      </c>
      <c r="P183" s="1">
        <v>145.80000000000001</v>
      </c>
      <c r="Q183" s="1">
        <v>139</v>
      </c>
      <c r="R183" s="1">
        <v>148.19999999999999</v>
      </c>
      <c r="S183" s="1">
        <v>139.30000000000001</v>
      </c>
      <c r="T183" s="1">
        <v>132.1</v>
      </c>
      <c r="U183" s="1">
        <v>138.30000000000001</v>
      </c>
      <c r="V183" s="1">
        <v>132.6</v>
      </c>
      <c r="W183" s="1">
        <v>129.4</v>
      </c>
      <c r="X183" s="1">
        <v>131.9</v>
      </c>
      <c r="Y183" s="1">
        <v>129.4</v>
      </c>
      <c r="Z183" s="1">
        <v>116</v>
      </c>
      <c r="AA183" s="1">
        <v>126.6</v>
      </c>
      <c r="AB183" s="1">
        <v>136.80000000000001</v>
      </c>
      <c r="AC183" s="1">
        <v>123.6</v>
      </c>
      <c r="AD183" s="1">
        <v>125.9</v>
      </c>
      <c r="AE183" s="1">
        <v>134.19999999999999</v>
      </c>
    </row>
    <row r="184" spans="1:31" x14ac:dyDescent="0.25">
      <c r="A184" s="1" t="s">
        <v>34</v>
      </c>
      <c r="B184" s="1">
        <v>2020</v>
      </c>
      <c r="C184" s="1" t="s">
        <v>35</v>
      </c>
      <c r="D184" s="1" t="s">
        <v>167</v>
      </c>
      <c r="E184" s="1">
        <v>144.80000000000001</v>
      </c>
      <c r="F184" s="1">
        <v>167.5</v>
      </c>
      <c r="G184" s="1">
        <v>151.80000000000001</v>
      </c>
      <c r="H184" s="1">
        <v>150.80000000000001</v>
      </c>
      <c r="I184" s="1">
        <v>131.4</v>
      </c>
      <c r="J184" s="1">
        <v>141.80000000000001</v>
      </c>
      <c r="K184" s="1">
        <v>170.7</v>
      </c>
      <c r="L184" s="1">
        <v>141.1</v>
      </c>
      <c r="M184" s="1">
        <v>113.6</v>
      </c>
      <c r="N184" s="1">
        <v>152</v>
      </c>
      <c r="O184" s="1">
        <v>136.5</v>
      </c>
      <c r="P184" s="1">
        <v>159.1</v>
      </c>
      <c r="Q184" s="1">
        <v>150.5</v>
      </c>
      <c r="R184" s="1">
        <v>170.1</v>
      </c>
      <c r="S184" s="1">
        <v>150.80000000000001</v>
      </c>
      <c r="T184" s="1">
        <v>141.69999999999999</v>
      </c>
      <c r="U184" s="1">
        <v>149.5</v>
      </c>
      <c r="V184" s="1">
        <v>154.80000000000001</v>
      </c>
      <c r="W184" s="1">
        <v>147.19999999999999</v>
      </c>
      <c r="X184" s="1">
        <v>146.4</v>
      </c>
      <c r="Y184" s="1">
        <v>151.69999999999999</v>
      </c>
      <c r="Z184" s="1">
        <v>130.30000000000001</v>
      </c>
      <c r="AA184" s="1">
        <v>143.19999999999999</v>
      </c>
      <c r="AB184" s="1">
        <v>156.19999999999999</v>
      </c>
      <c r="AC184" s="1">
        <v>143.4</v>
      </c>
      <c r="AD184" s="1">
        <v>143.6</v>
      </c>
      <c r="AE184" s="1">
        <v>149.1</v>
      </c>
    </row>
    <row r="185" spans="1:31" x14ac:dyDescent="0.25">
      <c r="A185" s="1" t="s">
        <v>30</v>
      </c>
      <c r="B185" s="1">
        <v>2020</v>
      </c>
      <c r="C185" s="1" t="s">
        <v>36</v>
      </c>
      <c r="D185" s="1" t="s">
        <v>168</v>
      </c>
      <c r="E185" s="1">
        <v>144.4</v>
      </c>
      <c r="F185" s="1">
        <v>166.8</v>
      </c>
      <c r="G185" s="1">
        <v>147.6</v>
      </c>
      <c r="H185" s="1">
        <v>151.69999999999999</v>
      </c>
      <c r="I185" s="1">
        <v>133.30000000000001</v>
      </c>
      <c r="J185" s="1">
        <v>141.80000000000001</v>
      </c>
      <c r="K185" s="1">
        <v>152.30000000000001</v>
      </c>
      <c r="L185" s="1">
        <v>141.80000000000001</v>
      </c>
      <c r="M185" s="1">
        <v>112.6</v>
      </c>
      <c r="N185" s="1">
        <v>154</v>
      </c>
      <c r="O185" s="1">
        <v>140.1</v>
      </c>
      <c r="P185" s="1">
        <v>160</v>
      </c>
      <c r="Q185" s="1">
        <v>148.19999999999999</v>
      </c>
      <c r="R185" s="1">
        <v>170.5</v>
      </c>
      <c r="S185" s="1">
        <v>153.4</v>
      </c>
      <c r="T185" s="1">
        <v>147.6</v>
      </c>
      <c r="U185" s="1">
        <v>152.5</v>
      </c>
      <c r="V185" s="14">
        <f>VLOOKUP($D185,Notes!$B$2:$C$229,2,0)</f>
        <v>154.5</v>
      </c>
      <c r="W185" s="1">
        <v>153.4</v>
      </c>
      <c r="X185" s="1">
        <v>151.5</v>
      </c>
      <c r="Y185" s="1">
        <v>156.69999999999999</v>
      </c>
      <c r="Z185" s="1">
        <v>135.80000000000001</v>
      </c>
      <c r="AA185" s="1">
        <v>151.19999999999999</v>
      </c>
      <c r="AB185" s="1">
        <v>161.19999999999999</v>
      </c>
      <c r="AC185" s="1">
        <v>145.1</v>
      </c>
      <c r="AD185" s="1">
        <v>148.6</v>
      </c>
      <c r="AE185" s="1">
        <v>149.80000000000001</v>
      </c>
    </row>
    <row r="186" spans="1:31" x14ac:dyDescent="0.25">
      <c r="A186" s="1" t="s">
        <v>34</v>
      </c>
      <c r="B186" s="1">
        <v>2017</v>
      </c>
      <c r="C186" s="1" t="s">
        <v>43</v>
      </c>
      <c r="D186" s="1" t="s">
        <v>140</v>
      </c>
      <c r="E186" s="1">
        <v>135.30000000000001</v>
      </c>
      <c r="F186" s="1">
        <v>142.19999999999999</v>
      </c>
      <c r="G186" s="1">
        <v>131.19999999999999</v>
      </c>
      <c r="H186" s="1">
        <v>140.6</v>
      </c>
      <c r="I186" s="1">
        <v>119</v>
      </c>
      <c r="J186" s="1">
        <v>141.5</v>
      </c>
      <c r="K186" s="1">
        <v>162.6</v>
      </c>
      <c r="L186" s="1">
        <v>132.30000000000001</v>
      </c>
      <c r="M186" s="1">
        <v>121.8</v>
      </c>
      <c r="N186" s="1">
        <v>136.30000000000001</v>
      </c>
      <c r="O186" s="1">
        <v>128.69999999999999</v>
      </c>
      <c r="P186" s="1">
        <v>148.1</v>
      </c>
      <c r="Q186" s="1">
        <v>140.1</v>
      </c>
      <c r="R186" s="1">
        <v>151.6</v>
      </c>
      <c r="S186" s="1">
        <v>142</v>
      </c>
      <c r="T186" s="1">
        <v>134.1</v>
      </c>
      <c r="U186" s="1">
        <v>140.80000000000001</v>
      </c>
      <c r="V186" s="1">
        <v>137.30000000000001</v>
      </c>
      <c r="W186" s="1">
        <v>132.19999999999999</v>
      </c>
      <c r="X186" s="1">
        <v>133.6</v>
      </c>
      <c r="Y186" s="1">
        <v>131.30000000000001</v>
      </c>
      <c r="Z186" s="1">
        <v>117.8</v>
      </c>
      <c r="AA186" s="1">
        <v>128.4</v>
      </c>
      <c r="AB186" s="1">
        <v>137.9</v>
      </c>
      <c r="AC186" s="1">
        <v>126.2</v>
      </c>
      <c r="AD186" s="1">
        <v>127.7</v>
      </c>
      <c r="AE186" s="1">
        <v>136.1</v>
      </c>
    </row>
    <row r="187" spans="1:31" x14ac:dyDescent="0.25">
      <c r="A187" s="1" t="s">
        <v>34</v>
      </c>
      <c r="B187" s="1">
        <v>2017</v>
      </c>
      <c r="C187" s="1" t="s">
        <v>45</v>
      </c>
      <c r="D187" s="1" t="s">
        <v>142</v>
      </c>
      <c r="E187" s="1">
        <v>135.80000000000001</v>
      </c>
      <c r="F187" s="1">
        <v>143.30000000000001</v>
      </c>
      <c r="G187" s="1">
        <v>145.19999999999999</v>
      </c>
      <c r="H187" s="1">
        <v>141</v>
      </c>
      <c r="I187" s="1">
        <v>120.5</v>
      </c>
      <c r="J187" s="1">
        <v>141.5</v>
      </c>
      <c r="K187" s="1">
        <v>161.69999999999999</v>
      </c>
      <c r="L187" s="1">
        <v>129.1</v>
      </c>
      <c r="M187" s="1">
        <v>121.5</v>
      </c>
      <c r="N187" s="1">
        <v>137.1</v>
      </c>
      <c r="O187" s="1">
        <v>128.80000000000001</v>
      </c>
      <c r="P187" s="1">
        <v>149</v>
      </c>
      <c r="Q187" s="1">
        <v>140.5</v>
      </c>
      <c r="R187" s="1">
        <v>154.19999999999999</v>
      </c>
      <c r="S187" s="1">
        <v>143.1</v>
      </c>
      <c r="T187" s="1">
        <v>135.1</v>
      </c>
      <c r="U187" s="1">
        <v>142</v>
      </c>
      <c r="V187" s="1">
        <v>139.1</v>
      </c>
      <c r="W187" s="1">
        <v>136.6</v>
      </c>
      <c r="X187" s="1">
        <v>134.69999999999999</v>
      </c>
      <c r="Y187" s="1">
        <v>133.1</v>
      </c>
      <c r="Z187" s="1">
        <v>118.5</v>
      </c>
      <c r="AA187" s="1">
        <v>129</v>
      </c>
      <c r="AB187" s="1">
        <v>138.5</v>
      </c>
      <c r="AC187" s="1">
        <v>126.5</v>
      </c>
      <c r="AD187" s="1">
        <v>128.6</v>
      </c>
      <c r="AE187" s="1">
        <v>137.19999999999999</v>
      </c>
    </row>
    <row r="188" spans="1:31" x14ac:dyDescent="0.25">
      <c r="A188" s="1" t="s">
        <v>33</v>
      </c>
      <c r="B188" s="1">
        <v>2018</v>
      </c>
      <c r="C188" s="1" t="s">
        <v>44</v>
      </c>
      <c r="D188" s="1" t="s">
        <v>153</v>
      </c>
      <c r="E188" s="1">
        <v>138.1</v>
      </c>
      <c r="F188" s="1">
        <v>146.30000000000001</v>
      </c>
      <c r="G188" s="1">
        <v>137.80000000000001</v>
      </c>
      <c r="H188" s="1">
        <v>141.6</v>
      </c>
      <c r="I188" s="1">
        <v>118.1</v>
      </c>
      <c r="J188" s="1">
        <v>141.5</v>
      </c>
      <c r="K188" s="1">
        <v>145.19999999999999</v>
      </c>
      <c r="L188" s="1">
        <v>115.3</v>
      </c>
      <c r="M188" s="1">
        <v>112.5</v>
      </c>
      <c r="N188" s="1">
        <v>141.4</v>
      </c>
      <c r="O188" s="1">
        <v>128</v>
      </c>
      <c r="P188" s="1">
        <v>152.6</v>
      </c>
      <c r="Q188" s="1">
        <v>139.1</v>
      </c>
      <c r="R188" s="1">
        <v>164.4</v>
      </c>
      <c r="S188" s="1">
        <v>142.4</v>
      </c>
      <c r="T188" s="1">
        <v>130.19999999999999</v>
      </c>
      <c r="U188" s="1">
        <v>140.5</v>
      </c>
      <c r="V188" s="1">
        <v>146.9</v>
      </c>
      <c r="W188" s="1">
        <v>136.69999999999999</v>
      </c>
      <c r="X188" s="1">
        <v>135.80000000000001</v>
      </c>
      <c r="Y188" s="1">
        <v>136.80000000000001</v>
      </c>
      <c r="Z188" s="1">
        <v>121.2</v>
      </c>
      <c r="AA188" s="1">
        <v>131.30000000000001</v>
      </c>
      <c r="AB188" s="1">
        <v>146.1</v>
      </c>
      <c r="AC188" s="1">
        <v>130.5</v>
      </c>
      <c r="AD188" s="1">
        <v>132.19999999999999</v>
      </c>
      <c r="AE188" s="1">
        <v>139</v>
      </c>
    </row>
    <row r="189" spans="1:31" x14ac:dyDescent="0.25">
      <c r="A189" s="1" t="s">
        <v>34</v>
      </c>
      <c r="B189" s="1">
        <v>2018</v>
      </c>
      <c r="C189" s="1" t="s">
        <v>31</v>
      </c>
      <c r="D189" s="1" t="s">
        <v>143</v>
      </c>
      <c r="E189" s="1">
        <v>136</v>
      </c>
      <c r="F189" s="1">
        <v>144.19999999999999</v>
      </c>
      <c r="G189" s="1">
        <v>143.69999999999999</v>
      </c>
      <c r="H189" s="1">
        <v>141.1</v>
      </c>
      <c r="I189" s="1">
        <v>120.7</v>
      </c>
      <c r="J189" s="1">
        <v>141.30000000000001</v>
      </c>
      <c r="K189" s="1">
        <v>151.6</v>
      </c>
      <c r="L189" s="1">
        <v>127.3</v>
      </c>
      <c r="M189" s="1">
        <v>118.8</v>
      </c>
      <c r="N189" s="1">
        <v>137.5</v>
      </c>
      <c r="O189" s="1">
        <v>129</v>
      </c>
      <c r="P189" s="1">
        <v>149.5</v>
      </c>
      <c r="Q189" s="1">
        <v>139.19999999999999</v>
      </c>
      <c r="R189" s="1">
        <v>154.69999999999999</v>
      </c>
      <c r="S189" s="1">
        <v>143.5</v>
      </c>
      <c r="T189" s="1">
        <v>135.5</v>
      </c>
      <c r="U189" s="1">
        <v>142.30000000000001</v>
      </c>
      <c r="V189" s="1">
        <v>140.4</v>
      </c>
      <c r="W189" s="1">
        <v>136.6</v>
      </c>
      <c r="X189" s="1">
        <v>134.9</v>
      </c>
      <c r="Y189" s="1">
        <v>133.30000000000001</v>
      </c>
      <c r="Z189" s="1">
        <v>119.3</v>
      </c>
      <c r="AA189" s="1">
        <v>129.69999999999999</v>
      </c>
      <c r="AB189" s="1">
        <v>139</v>
      </c>
      <c r="AC189" s="1">
        <v>127.3</v>
      </c>
      <c r="AD189" s="1">
        <v>129.1</v>
      </c>
      <c r="AE189" s="1">
        <v>136.9</v>
      </c>
    </row>
    <row r="190" spans="1:31" x14ac:dyDescent="0.25">
      <c r="A190" s="1" t="s">
        <v>30</v>
      </c>
      <c r="B190" s="1">
        <v>2017</v>
      </c>
      <c r="C190" s="1" t="s">
        <v>39</v>
      </c>
      <c r="D190" s="1" t="s">
        <v>136</v>
      </c>
      <c r="E190" s="1">
        <v>133.5</v>
      </c>
      <c r="F190" s="1">
        <v>143.69999999999999</v>
      </c>
      <c r="G190" s="1">
        <v>128</v>
      </c>
      <c r="H190" s="1">
        <v>138.6</v>
      </c>
      <c r="I190" s="1">
        <v>120.9</v>
      </c>
      <c r="J190" s="1">
        <v>140.9</v>
      </c>
      <c r="K190" s="1">
        <v>128.80000000000001</v>
      </c>
      <c r="L190" s="1">
        <v>140.19999999999999</v>
      </c>
      <c r="M190" s="1">
        <v>118.9</v>
      </c>
      <c r="N190" s="1">
        <v>133.5</v>
      </c>
      <c r="O190" s="1">
        <v>130.4</v>
      </c>
      <c r="P190" s="1">
        <v>146.5</v>
      </c>
      <c r="Q190" s="1">
        <v>134.9</v>
      </c>
      <c r="R190" s="1">
        <v>145.80000000000001</v>
      </c>
      <c r="S190" s="1">
        <v>143.1</v>
      </c>
      <c r="T190" s="1">
        <v>137.69999999999999</v>
      </c>
      <c r="U190" s="1">
        <v>142.30000000000001</v>
      </c>
      <c r="V190" s="14">
        <f>VLOOKUP($D190,Notes!$B$2:$C$229,2,0)</f>
        <v>131.4</v>
      </c>
      <c r="W190" s="1">
        <v>134.80000000000001</v>
      </c>
      <c r="X190" s="1">
        <v>135.19999999999999</v>
      </c>
      <c r="Y190" s="1">
        <v>131.30000000000001</v>
      </c>
      <c r="Z190" s="1">
        <v>119.4</v>
      </c>
      <c r="AA190" s="1">
        <v>129.80000000000001</v>
      </c>
      <c r="AB190" s="1">
        <v>136.9</v>
      </c>
      <c r="AC190" s="1">
        <v>124.1</v>
      </c>
      <c r="AD190" s="1">
        <v>128.1</v>
      </c>
      <c r="AE190" s="1">
        <v>133.9</v>
      </c>
    </row>
    <row r="191" spans="1:31" x14ac:dyDescent="0.25">
      <c r="A191" s="1" t="s">
        <v>30</v>
      </c>
      <c r="B191" s="1">
        <v>2020</v>
      </c>
      <c r="C191" s="1" t="s">
        <v>35</v>
      </c>
      <c r="D191" s="1" t="s">
        <v>167</v>
      </c>
      <c r="E191" s="1">
        <v>144.19999999999999</v>
      </c>
      <c r="F191" s="1">
        <v>167.5</v>
      </c>
      <c r="G191" s="1">
        <v>150.9</v>
      </c>
      <c r="H191" s="1">
        <v>150.9</v>
      </c>
      <c r="I191" s="1">
        <v>133.69999999999999</v>
      </c>
      <c r="J191" s="1">
        <v>140.69999999999999</v>
      </c>
      <c r="K191" s="1">
        <v>165.1</v>
      </c>
      <c r="L191" s="1">
        <v>141.80000000000001</v>
      </c>
      <c r="M191" s="1">
        <v>113.1</v>
      </c>
      <c r="N191" s="1">
        <v>152.80000000000001</v>
      </c>
      <c r="O191" s="1">
        <v>140.1</v>
      </c>
      <c r="P191" s="1">
        <v>159.19999999999999</v>
      </c>
      <c r="Q191" s="1">
        <v>149.80000000000001</v>
      </c>
      <c r="R191" s="1">
        <v>169.4</v>
      </c>
      <c r="S191" s="1">
        <v>153</v>
      </c>
      <c r="T191" s="1">
        <v>147.5</v>
      </c>
      <c r="U191" s="1">
        <v>152.30000000000001</v>
      </c>
      <c r="V191" s="14">
        <f>VLOOKUP($D191,Notes!$B$2:$C$229,2,0)</f>
        <v>154.80000000000001</v>
      </c>
      <c r="W191" s="1">
        <v>152.30000000000001</v>
      </c>
      <c r="X191" s="1">
        <v>151.80000000000001</v>
      </c>
      <c r="Y191" s="1">
        <v>156.19999999999999</v>
      </c>
      <c r="Z191" s="1">
        <v>136</v>
      </c>
      <c r="AA191" s="1">
        <v>150.4</v>
      </c>
      <c r="AB191" s="1">
        <v>161.9</v>
      </c>
      <c r="AC191" s="1">
        <v>143.4</v>
      </c>
      <c r="AD191" s="1">
        <v>148.4</v>
      </c>
      <c r="AE191" s="1">
        <v>150.4</v>
      </c>
    </row>
    <row r="192" spans="1:31" x14ac:dyDescent="0.25">
      <c r="A192" s="1" t="s">
        <v>30</v>
      </c>
      <c r="B192" s="1">
        <v>2016</v>
      </c>
      <c r="C192" s="1" t="s">
        <v>41</v>
      </c>
      <c r="D192" s="1" t="s">
        <v>126</v>
      </c>
      <c r="E192" s="1">
        <v>130.1</v>
      </c>
      <c r="F192" s="1">
        <v>138.80000000000001</v>
      </c>
      <c r="G192" s="1">
        <v>130.30000000000001</v>
      </c>
      <c r="H192" s="1">
        <v>135.30000000000001</v>
      </c>
      <c r="I192" s="1">
        <v>119.9</v>
      </c>
      <c r="J192" s="1">
        <v>140.19999999999999</v>
      </c>
      <c r="K192" s="1">
        <v>156.9</v>
      </c>
      <c r="L192" s="1">
        <v>172.2</v>
      </c>
      <c r="M192" s="1">
        <v>112.1</v>
      </c>
      <c r="N192" s="1">
        <v>134.9</v>
      </c>
      <c r="O192" s="1">
        <v>128.1</v>
      </c>
      <c r="P192" s="1">
        <v>140.69999999999999</v>
      </c>
      <c r="Q192" s="1">
        <v>138</v>
      </c>
      <c r="R192" s="1">
        <v>138.9</v>
      </c>
      <c r="S192" s="1">
        <v>137.80000000000001</v>
      </c>
      <c r="T192" s="1">
        <v>133</v>
      </c>
      <c r="U192" s="1">
        <v>137.1</v>
      </c>
      <c r="V192" s="14">
        <f>VLOOKUP($D192,Notes!$B$2:$C$229,2,0)</f>
        <v>127.3</v>
      </c>
      <c r="W192" s="1">
        <v>129.1</v>
      </c>
      <c r="X192" s="1">
        <v>130.6</v>
      </c>
      <c r="Y192" s="1">
        <v>127</v>
      </c>
      <c r="Z192" s="1">
        <v>116</v>
      </c>
      <c r="AA192" s="1">
        <v>125.5</v>
      </c>
      <c r="AB192" s="1">
        <v>131.9</v>
      </c>
      <c r="AC192" s="1">
        <v>122</v>
      </c>
      <c r="AD192" s="1">
        <v>124.2</v>
      </c>
      <c r="AE192" s="1">
        <v>133.5</v>
      </c>
    </row>
    <row r="193" spans="1:31" x14ac:dyDescent="0.25">
      <c r="A193" s="1" t="s">
        <v>30</v>
      </c>
      <c r="B193" s="1">
        <v>2017</v>
      </c>
      <c r="C193" s="1" t="s">
        <v>38</v>
      </c>
      <c r="D193" s="1" t="s">
        <v>135</v>
      </c>
      <c r="E193" s="1">
        <v>133.1</v>
      </c>
      <c r="F193" s="1">
        <v>140.30000000000001</v>
      </c>
      <c r="G193" s="1">
        <v>126.8</v>
      </c>
      <c r="H193" s="1">
        <v>138.19999999999999</v>
      </c>
      <c r="I193" s="1">
        <v>120.8</v>
      </c>
      <c r="J193" s="1">
        <v>140.19999999999999</v>
      </c>
      <c r="K193" s="1">
        <v>123.8</v>
      </c>
      <c r="L193" s="1">
        <v>141.80000000000001</v>
      </c>
      <c r="M193" s="1">
        <v>118.6</v>
      </c>
      <c r="N193" s="1">
        <v>134</v>
      </c>
      <c r="O193" s="1">
        <v>130.30000000000001</v>
      </c>
      <c r="P193" s="1">
        <v>145.80000000000001</v>
      </c>
      <c r="Q193" s="1">
        <v>133.80000000000001</v>
      </c>
      <c r="R193" s="1">
        <v>145.5</v>
      </c>
      <c r="S193" s="1">
        <v>142.5</v>
      </c>
      <c r="T193" s="1">
        <v>137.30000000000001</v>
      </c>
      <c r="U193" s="1">
        <v>141.80000000000001</v>
      </c>
      <c r="V193" s="14">
        <f>VLOOKUP($D193,Notes!$B$2:$C$229,2,0)</f>
        <v>132.1</v>
      </c>
      <c r="W193" s="1">
        <v>135</v>
      </c>
      <c r="X193" s="1">
        <v>134.9</v>
      </c>
      <c r="Y193" s="1">
        <v>131.4</v>
      </c>
      <c r="Z193" s="1">
        <v>119.4</v>
      </c>
      <c r="AA193" s="1">
        <v>129.4</v>
      </c>
      <c r="AB193" s="1">
        <v>136.30000000000001</v>
      </c>
      <c r="AC193" s="1">
        <v>123.7</v>
      </c>
      <c r="AD193" s="1">
        <v>127.9</v>
      </c>
      <c r="AE193" s="1">
        <v>133.30000000000001</v>
      </c>
    </row>
    <row r="194" spans="1:31" x14ac:dyDescent="0.25">
      <c r="A194" s="1" t="s">
        <v>30</v>
      </c>
      <c r="B194" s="1">
        <v>2018</v>
      </c>
      <c r="C194" s="1" t="s">
        <v>45</v>
      </c>
      <c r="D194" s="1" t="s">
        <v>154</v>
      </c>
      <c r="E194" s="1">
        <v>137.1</v>
      </c>
      <c r="F194" s="1">
        <v>151.9</v>
      </c>
      <c r="G194" s="1">
        <v>137.4</v>
      </c>
      <c r="H194" s="1">
        <v>142.4</v>
      </c>
      <c r="I194" s="1">
        <v>124.2</v>
      </c>
      <c r="J194" s="1">
        <v>140.19999999999999</v>
      </c>
      <c r="K194" s="1">
        <v>136.6</v>
      </c>
      <c r="L194" s="1">
        <v>120.9</v>
      </c>
      <c r="M194" s="1">
        <v>109.9</v>
      </c>
      <c r="N194" s="1">
        <v>140.19999999999999</v>
      </c>
      <c r="O194" s="1">
        <v>137.80000000000001</v>
      </c>
      <c r="P194" s="1">
        <v>156</v>
      </c>
      <c r="Q194" s="1">
        <v>138.5</v>
      </c>
      <c r="R194" s="1">
        <v>162.4</v>
      </c>
      <c r="S194" s="1">
        <v>151.6</v>
      </c>
      <c r="T194" s="1">
        <v>145.9</v>
      </c>
      <c r="U194" s="1">
        <v>150.80000000000001</v>
      </c>
      <c r="V194" s="14">
        <f>VLOOKUP($D194,Notes!$B$2:$C$229,2,0)</f>
        <v>146.5</v>
      </c>
      <c r="W194" s="1">
        <v>149</v>
      </c>
      <c r="X194" s="1">
        <v>149.5</v>
      </c>
      <c r="Y194" s="1">
        <v>149.6</v>
      </c>
      <c r="Z194" s="1">
        <v>128.9</v>
      </c>
      <c r="AA194" s="1">
        <v>143.30000000000001</v>
      </c>
      <c r="AB194" s="1">
        <v>155.1</v>
      </c>
      <c r="AC194" s="1">
        <v>133.19999999999999</v>
      </c>
      <c r="AD194" s="1">
        <v>141.6</v>
      </c>
      <c r="AE194" s="1">
        <v>141.9</v>
      </c>
    </row>
    <row r="195" spans="1:31" x14ac:dyDescent="0.25">
      <c r="A195" s="1" t="s">
        <v>33</v>
      </c>
      <c r="B195" s="1">
        <v>2018</v>
      </c>
      <c r="C195" s="1" t="s">
        <v>42</v>
      </c>
      <c r="D195" s="1" t="s">
        <v>151</v>
      </c>
      <c r="E195" s="1">
        <v>137</v>
      </c>
      <c r="F195" s="1">
        <v>143.1</v>
      </c>
      <c r="G195" s="1">
        <v>132.80000000000001</v>
      </c>
      <c r="H195" s="1">
        <v>141.5</v>
      </c>
      <c r="I195" s="1">
        <v>117.8</v>
      </c>
      <c r="J195" s="1">
        <v>140</v>
      </c>
      <c r="K195" s="1">
        <v>151.30000000000001</v>
      </c>
      <c r="L195" s="1">
        <v>113.5</v>
      </c>
      <c r="M195" s="1">
        <v>112.3</v>
      </c>
      <c r="N195" s="1">
        <v>141.19999999999999</v>
      </c>
      <c r="O195" s="1">
        <v>127.7</v>
      </c>
      <c r="P195" s="1">
        <v>151.30000000000001</v>
      </c>
      <c r="Q195" s="1">
        <v>138.9</v>
      </c>
      <c r="R195" s="1">
        <v>163.30000000000001</v>
      </c>
      <c r="S195" s="1">
        <v>140.80000000000001</v>
      </c>
      <c r="T195" s="1">
        <v>129.30000000000001</v>
      </c>
      <c r="U195" s="1">
        <v>139.1</v>
      </c>
      <c r="V195" s="1">
        <v>145.30000000000001</v>
      </c>
      <c r="W195" s="1">
        <v>131.19999999999999</v>
      </c>
      <c r="X195" s="1">
        <v>134.9</v>
      </c>
      <c r="Y195" s="1">
        <v>135.69999999999999</v>
      </c>
      <c r="Z195" s="1">
        <v>122.5</v>
      </c>
      <c r="AA195" s="1">
        <v>130.19999999999999</v>
      </c>
      <c r="AB195" s="1">
        <v>145.19999999999999</v>
      </c>
      <c r="AC195" s="1">
        <v>129.30000000000001</v>
      </c>
      <c r="AD195" s="1">
        <v>131.9</v>
      </c>
      <c r="AE195" s="1">
        <v>138.1</v>
      </c>
    </row>
    <row r="196" spans="1:31" x14ac:dyDescent="0.25">
      <c r="A196" s="1" t="s">
        <v>34</v>
      </c>
      <c r="B196" s="1">
        <v>2017</v>
      </c>
      <c r="C196" s="1" t="s">
        <v>37</v>
      </c>
      <c r="D196" s="1" t="s">
        <v>134</v>
      </c>
      <c r="E196" s="1">
        <v>133</v>
      </c>
      <c r="F196" s="1">
        <v>139.4</v>
      </c>
      <c r="G196" s="1">
        <v>126.1</v>
      </c>
      <c r="H196" s="1">
        <v>137.19999999999999</v>
      </c>
      <c r="I196" s="1">
        <v>118.4</v>
      </c>
      <c r="J196" s="1">
        <v>139.9</v>
      </c>
      <c r="K196" s="1">
        <v>123.4</v>
      </c>
      <c r="L196" s="1">
        <v>140.9</v>
      </c>
      <c r="M196" s="1">
        <v>118.5</v>
      </c>
      <c r="N196" s="1">
        <v>136.5</v>
      </c>
      <c r="O196" s="1">
        <v>127.4</v>
      </c>
      <c r="P196" s="1">
        <v>144.19999999999999</v>
      </c>
      <c r="Q196" s="1">
        <v>133.5</v>
      </c>
      <c r="R196" s="1">
        <v>145.4</v>
      </c>
      <c r="S196" s="1">
        <v>138</v>
      </c>
      <c r="T196" s="1">
        <v>131.1</v>
      </c>
      <c r="U196" s="1">
        <v>137</v>
      </c>
      <c r="V196" s="1">
        <v>131.69999999999999</v>
      </c>
      <c r="W196" s="1">
        <v>129.80000000000001</v>
      </c>
      <c r="X196" s="1">
        <v>130.4</v>
      </c>
      <c r="Y196" s="1">
        <v>128.1</v>
      </c>
      <c r="Z196" s="1">
        <v>116.6</v>
      </c>
      <c r="AA196" s="1">
        <v>125.1</v>
      </c>
      <c r="AB196" s="1">
        <v>134.5</v>
      </c>
      <c r="AC196" s="1">
        <v>123.1</v>
      </c>
      <c r="AD196" s="1">
        <v>125.1</v>
      </c>
      <c r="AE196" s="1">
        <v>131.1</v>
      </c>
    </row>
    <row r="197" spans="1:31" x14ac:dyDescent="0.25">
      <c r="A197" s="1" t="s">
        <v>30</v>
      </c>
      <c r="B197" s="1">
        <v>2017</v>
      </c>
      <c r="C197" s="1" t="s">
        <v>36</v>
      </c>
      <c r="D197" s="1" t="s">
        <v>133</v>
      </c>
      <c r="E197" s="1">
        <v>133.6</v>
      </c>
      <c r="F197" s="1">
        <v>138.80000000000001</v>
      </c>
      <c r="G197" s="1">
        <v>128.80000000000001</v>
      </c>
      <c r="H197" s="1">
        <v>137.19999999999999</v>
      </c>
      <c r="I197" s="1">
        <v>121.6</v>
      </c>
      <c r="J197" s="1">
        <v>139.69999999999999</v>
      </c>
      <c r="K197" s="1">
        <v>119.7</v>
      </c>
      <c r="L197" s="1">
        <v>148</v>
      </c>
      <c r="M197" s="1">
        <v>116.9</v>
      </c>
      <c r="N197" s="1">
        <v>135.6</v>
      </c>
      <c r="O197" s="1">
        <v>129.80000000000001</v>
      </c>
      <c r="P197" s="1">
        <v>145.4</v>
      </c>
      <c r="Q197" s="1">
        <v>133.4</v>
      </c>
      <c r="R197" s="1">
        <v>144.19999999999999</v>
      </c>
      <c r="S197" s="1">
        <v>141.6</v>
      </c>
      <c r="T197" s="1">
        <v>136.19999999999999</v>
      </c>
      <c r="U197" s="1">
        <v>140.80000000000001</v>
      </c>
      <c r="V197" s="14">
        <f>VLOOKUP($D197,Notes!$B$2:$C$229,2,0)</f>
        <v>131.1</v>
      </c>
      <c r="W197" s="1">
        <v>134.19999999999999</v>
      </c>
      <c r="X197" s="1">
        <v>134.1</v>
      </c>
      <c r="Y197" s="1">
        <v>130.6</v>
      </c>
      <c r="Z197" s="1">
        <v>119.8</v>
      </c>
      <c r="AA197" s="1">
        <v>128.30000000000001</v>
      </c>
      <c r="AB197" s="1">
        <v>135.19999999999999</v>
      </c>
      <c r="AC197" s="1">
        <v>123.3</v>
      </c>
      <c r="AD197" s="1">
        <v>127.4</v>
      </c>
      <c r="AE197" s="1">
        <v>132.80000000000001</v>
      </c>
    </row>
    <row r="198" spans="1:31" x14ac:dyDescent="0.25">
      <c r="A198" s="1" t="s">
        <v>33</v>
      </c>
      <c r="B198" s="1">
        <v>2018</v>
      </c>
      <c r="C198" s="1" t="s">
        <v>43</v>
      </c>
      <c r="D198" s="1" t="s">
        <v>152</v>
      </c>
      <c r="E198" s="1">
        <v>137.6</v>
      </c>
      <c r="F198" s="1">
        <v>144.9</v>
      </c>
      <c r="G198" s="1">
        <v>133.5</v>
      </c>
      <c r="H198" s="1">
        <v>141.5</v>
      </c>
      <c r="I198" s="1">
        <v>118</v>
      </c>
      <c r="J198" s="1">
        <v>139.5</v>
      </c>
      <c r="K198" s="1">
        <v>153</v>
      </c>
      <c r="L198" s="1">
        <v>113.2</v>
      </c>
      <c r="M198" s="1">
        <v>112.8</v>
      </c>
      <c r="N198" s="1">
        <v>141.1</v>
      </c>
      <c r="O198" s="1">
        <v>127.6</v>
      </c>
      <c r="P198" s="1">
        <v>152</v>
      </c>
      <c r="Q198" s="1">
        <v>139.4</v>
      </c>
      <c r="R198" s="1">
        <v>164</v>
      </c>
      <c r="S198" s="1">
        <v>141.5</v>
      </c>
      <c r="T198" s="1">
        <v>129.80000000000001</v>
      </c>
      <c r="U198" s="1">
        <v>139.69999999999999</v>
      </c>
      <c r="V198" s="1">
        <v>146.30000000000001</v>
      </c>
      <c r="W198" s="1">
        <v>133.4</v>
      </c>
      <c r="X198" s="1">
        <v>135.1</v>
      </c>
      <c r="Y198" s="1">
        <v>136.19999999999999</v>
      </c>
      <c r="Z198" s="1">
        <v>123.3</v>
      </c>
      <c r="AA198" s="1">
        <v>130.69999999999999</v>
      </c>
      <c r="AB198" s="1">
        <v>145.5</v>
      </c>
      <c r="AC198" s="1">
        <v>130.4</v>
      </c>
      <c r="AD198" s="1">
        <v>132.5</v>
      </c>
      <c r="AE198" s="1">
        <v>138.9</v>
      </c>
    </row>
    <row r="199" spans="1:31" x14ac:dyDescent="0.25">
      <c r="A199" s="1" t="s">
        <v>33</v>
      </c>
      <c r="B199" s="1">
        <v>2017</v>
      </c>
      <c r="C199" s="1" t="s">
        <v>40</v>
      </c>
      <c r="D199" s="1" t="s">
        <v>137</v>
      </c>
      <c r="E199" s="1">
        <v>132.80000000000001</v>
      </c>
      <c r="F199" s="1">
        <v>148.4</v>
      </c>
      <c r="G199" s="1">
        <v>129.4</v>
      </c>
      <c r="H199" s="1">
        <v>137.69999999999999</v>
      </c>
      <c r="I199" s="1">
        <v>113.4</v>
      </c>
      <c r="J199" s="1">
        <v>139.4</v>
      </c>
      <c r="K199" s="1">
        <v>175.1</v>
      </c>
      <c r="L199" s="1">
        <v>124.7</v>
      </c>
      <c r="M199" s="1">
        <v>121.5</v>
      </c>
      <c r="N199" s="1">
        <v>137.80000000000001</v>
      </c>
      <c r="O199" s="1">
        <v>124.4</v>
      </c>
      <c r="P199" s="1">
        <v>143.69999999999999</v>
      </c>
      <c r="Q199" s="1">
        <v>139.80000000000001</v>
      </c>
      <c r="R199" s="1">
        <v>150.5</v>
      </c>
      <c r="S199" s="1">
        <v>131.6</v>
      </c>
      <c r="T199" s="1">
        <v>123.7</v>
      </c>
      <c r="U199" s="1">
        <v>130.4</v>
      </c>
      <c r="V199" s="1">
        <v>132.6</v>
      </c>
      <c r="W199" s="1">
        <v>119.7</v>
      </c>
      <c r="X199" s="1">
        <v>127.2</v>
      </c>
      <c r="Y199" s="1">
        <v>125</v>
      </c>
      <c r="Z199" s="1">
        <v>113.2</v>
      </c>
      <c r="AA199" s="1">
        <v>123.5</v>
      </c>
      <c r="AB199" s="1">
        <v>135.5</v>
      </c>
      <c r="AC199" s="1">
        <v>122.4</v>
      </c>
      <c r="AD199" s="1">
        <v>123</v>
      </c>
      <c r="AE199" s="1">
        <v>131.80000000000001</v>
      </c>
    </row>
    <row r="200" spans="1:31" x14ac:dyDescent="0.25">
      <c r="A200" s="1" t="s">
        <v>34</v>
      </c>
      <c r="B200" s="1">
        <v>2018</v>
      </c>
      <c r="C200" s="1" t="s">
        <v>45</v>
      </c>
      <c r="D200" s="1" t="s">
        <v>154</v>
      </c>
      <c r="E200" s="1">
        <v>137.5</v>
      </c>
      <c r="F200" s="1">
        <v>150.5</v>
      </c>
      <c r="G200" s="1">
        <v>138.80000000000001</v>
      </c>
      <c r="H200" s="1">
        <v>142.1</v>
      </c>
      <c r="I200" s="1">
        <v>122</v>
      </c>
      <c r="J200" s="1">
        <v>139.4</v>
      </c>
      <c r="K200" s="1">
        <v>135.19999999999999</v>
      </c>
      <c r="L200" s="1">
        <v>119.8</v>
      </c>
      <c r="M200" s="1">
        <v>110.3</v>
      </c>
      <c r="N200" s="1">
        <v>140.6</v>
      </c>
      <c r="O200" s="1">
        <v>133.80000000000001</v>
      </c>
      <c r="P200" s="1">
        <v>154.6</v>
      </c>
      <c r="Q200" s="1">
        <v>138.19999999999999</v>
      </c>
      <c r="R200" s="1">
        <v>163</v>
      </c>
      <c r="S200" s="1">
        <v>148.1</v>
      </c>
      <c r="T200" s="1">
        <v>139.4</v>
      </c>
      <c r="U200" s="1">
        <v>146.80000000000001</v>
      </c>
      <c r="V200" s="1">
        <v>146.5</v>
      </c>
      <c r="W200" s="1">
        <v>142.69999999999999</v>
      </c>
      <c r="X200" s="1">
        <v>143.19999999999999</v>
      </c>
      <c r="Y200" s="1">
        <v>144.9</v>
      </c>
      <c r="Z200" s="1">
        <v>123.6</v>
      </c>
      <c r="AA200" s="1">
        <v>136.80000000000001</v>
      </c>
      <c r="AB200" s="1">
        <v>150.1</v>
      </c>
      <c r="AC200" s="1">
        <v>132.19999999999999</v>
      </c>
      <c r="AD200" s="1">
        <v>136.80000000000001</v>
      </c>
      <c r="AE200" s="1">
        <v>140.1</v>
      </c>
    </row>
    <row r="201" spans="1:31" x14ac:dyDescent="0.25">
      <c r="A201" s="1" t="s">
        <v>33</v>
      </c>
      <c r="B201" s="1">
        <v>2019</v>
      </c>
      <c r="C201" s="1" t="s">
        <v>36</v>
      </c>
      <c r="D201" s="1" t="s">
        <v>157</v>
      </c>
      <c r="E201" s="1">
        <v>139.69999999999999</v>
      </c>
      <c r="F201" s="1">
        <v>151.1</v>
      </c>
      <c r="G201" s="1">
        <v>142.9</v>
      </c>
      <c r="H201" s="1">
        <v>141.9</v>
      </c>
      <c r="I201" s="1">
        <v>118.4</v>
      </c>
      <c r="J201" s="1">
        <v>139.4</v>
      </c>
      <c r="K201" s="1">
        <v>141.19999999999999</v>
      </c>
      <c r="L201" s="1">
        <v>120.7</v>
      </c>
      <c r="M201" s="1">
        <v>110.4</v>
      </c>
      <c r="N201" s="1">
        <v>140.69999999999999</v>
      </c>
      <c r="O201" s="1">
        <v>128.5</v>
      </c>
      <c r="P201" s="1">
        <v>153.9</v>
      </c>
      <c r="Q201" s="1">
        <v>139.6</v>
      </c>
      <c r="R201" s="1">
        <v>165.3</v>
      </c>
      <c r="S201" s="1">
        <v>143.5</v>
      </c>
      <c r="T201" s="1">
        <v>131.19999999999999</v>
      </c>
      <c r="U201" s="1">
        <v>141.6</v>
      </c>
      <c r="V201" s="1">
        <v>149</v>
      </c>
      <c r="W201" s="1">
        <v>128.80000000000001</v>
      </c>
      <c r="X201" s="1">
        <v>136.80000000000001</v>
      </c>
      <c r="Y201" s="1">
        <v>139.19999999999999</v>
      </c>
      <c r="Z201" s="1">
        <v>119.9</v>
      </c>
      <c r="AA201" s="1">
        <v>133</v>
      </c>
      <c r="AB201" s="1">
        <v>146.69999999999999</v>
      </c>
      <c r="AC201" s="1">
        <v>132.5</v>
      </c>
      <c r="AD201" s="1">
        <v>132.80000000000001</v>
      </c>
      <c r="AE201" s="1">
        <v>139.5</v>
      </c>
    </row>
    <row r="202" spans="1:31" x14ac:dyDescent="0.25">
      <c r="A202" s="1" t="s">
        <v>30</v>
      </c>
      <c r="B202" s="1">
        <v>2016</v>
      </c>
      <c r="C202" s="1" t="s">
        <v>42</v>
      </c>
      <c r="D202" s="1" t="s">
        <v>127</v>
      </c>
      <c r="E202" s="1">
        <v>130.80000000000001</v>
      </c>
      <c r="F202" s="1">
        <v>138.19999999999999</v>
      </c>
      <c r="G202" s="1">
        <v>130.5</v>
      </c>
      <c r="H202" s="1">
        <v>135.5</v>
      </c>
      <c r="I202" s="1">
        <v>120.2</v>
      </c>
      <c r="J202" s="1">
        <v>139.19999999999999</v>
      </c>
      <c r="K202" s="1">
        <v>149.5</v>
      </c>
      <c r="L202" s="1">
        <v>170.4</v>
      </c>
      <c r="M202" s="1">
        <v>113.1</v>
      </c>
      <c r="N202" s="1">
        <v>135.80000000000001</v>
      </c>
      <c r="O202" s="1">
        <v>128.80000000000001</v>
      </c>
      <c r="P202" s="1">
        <v>141.5</v>
      </c>
      <c r="Q202" s="1">
        <v>137.19999999999999</v>
      </c>
      <c r="R202" s="1">
        <v>139.9</v>
      </c>
      <c r="S202" s="1">
        <v>138.5</v>
      </c>
      <c r="T202" s="1">
        <v>133.5</v>
      </c>
      <c r="U202" s="1">
        <v>137.80000000000001</v>
      </c>
      <c r="V202" s="14">
        <f>VLOOKUP($D202,Notes!$B$2:$C$229,2,0)</f>
        <v>127.9</v>
      </c>
      <c r="W202" s="1">
        <v>129.69999999999999</v>
      </c>
      <c r="X202" s="1">
        <v>131.1</v>
      </c>
      <c r="Y202" s="1">
        <v>127.8</v>
      </c>
      <c r="Z202" s="1">
        <v>117</v>
      </c>
      <c r="AA202" s="1">
        <v>125.7</v>
      </c>
      <c r="AB202" s="1">
        <v>132.19999999999999</v>
      </c>
      <c r="AC202" s="1">
        <v>122.8</v>
      </c>
      <c r="AD202" s="1">
        <v>124.9</v>
      </c>
      <c r="AE202" s="1">
        <v>133.4</v>
      </c>
    </row>
    <row r="203" spans="1:31" x14ac:dyDescent="0.25">
      <c r="A203" s="1" t="s">
        <v>34</v>
      </c>
      <c r="B203" s="1">
        <v>2017</v>
      </c>
      <c r="C203" s="1" t="s">
        <v>39</v>
      </c>
      <c r="D203" s="1" t="s">
        <v>136</v>
      </c>
      <c r="E203" s="1">
        <v>133.30000000000001</v>
      </c>
      <c r="F203" s="1">
        <v>145.5</v>
      </c>
      <c r="G203" s="1">
        <v>128.1</v>
      </c>
      <c r="H203" s="1">
        <v>138.1</v>
      </c>
      <c r="I203" s="1">
        <v>118.2</v>
      </c>
      <c r="J203" s="1">
        <v>139.19999999999999</v>
      </c>
      <c r="K203" s="1">
        <v>133.30000000000001</v>
      </c>
      <c r="L203" s="1">
        <v>136.19999999999999</v>
      </c>
      <c r="M203" s="1">
        <v>119.6</v>
      </c>
      <c r="N203" s="1">
        <v>135.30000000000001</v>
      </c>
      <c r="O203" s="1">
        <v>127.8</v>
      </c>
      <c r="P203" s="1">
        <v>144.9</v>
      </c>
      <c r="Q203" s="1">
        <v>135.19999999999999</v>
      </c>
      <c r="R203" s="1">
        <v>146.5</v>
      </c>
      <c r="S203" s="1">
        <v>138.5</v>
      </c>
      <c r="T203" s="1">
        <v>131.69999999999999</v>
      </c>
      <c r="U203" s="1">
        <v>137.5</v>
      </c>
      <c r="V203" s="1">
        <v>131.4</v>
      </c>
      <c r="W203" s="1">
        <v>128.80000000000001</v>
      </c>
      <c r="X203" s="1">
        <v>131.19999999999999</v>
      </c>
      <c r="Y203" s="1">
        <v>128.5</v>
      </c>
      <c r="Z203" s="1">
        <v>116.5</v>
      </c>
      <c r="AA203" s="1">
        <v>125.9</v>
      </c>
      <c r="AB203" s="1">
        <v>135.4</v>
      </c>
      <c r="AC203" s="1">
        <v>123.4</v>
      </c>
      <c r="AD203" s="1">
        <v>125.5</v>
      </c>
      <c r="AE203" s="1">
        <v>132</v>
      </c>
    </row>
    <row r="204" spans="1:31" x14ac:dyDescent="0.25">
      <c r="A204" s="1" t="s">
        <v>30</v>
      </c>
      <c r="B204" s="1">
        <v>2017</v>
      </c>
      <c r="C204" s="1" t="s">
        <v>35</v>
      </c>
      <c r="D204" s="1" t="s">
        <v>132</v>
      </c>
      <c r="E204" s="1">
        <v>133.30000000000001</v>
      </c>
      <c r="F204" s="1">
        <v>138.30000000000001</v>
      </c>
      <c r="G204" s="1">
        <v>129.30000000000001</v>
      </c>
      <c r="H204" s="1">
        <v>137.19999999999999</v>
      </c>
      <c r="I204" s="1">
        <v>122.1</v>
      </c>
      <c r="J204" s="1">
        <v>138.69999999999999</v>
      </c>
      <c r="K204" s="1">
        <v>119.1</v>
      </c>
      <c r="L204" s="1">
        <v>156.9</v>
      </c>
      <c r="M204" s="1">
        <v>116.2</v>
      </c>
      <c r="N204" s="1">
        <v>136</v>
      </c>
      <c r="O204" s="1">
        <v>129.4</v>
      </c>
      <c r="P204" s="1">
        <v>144.4</v>
      </c>
      <c r="Q204" s="1">
        <v>133.6</v>
      </c>
      <c r="R204" s="1">
        <v>143.69999999999999</v>
      </c>
      <c r="S204" s="1">
        <v>140.9</v>
      </c>
      <c r="T204" s="1">
        <v>135.80000000000001</v>
      </c>
      <c r="U204" s="1">
        <v>140.19999999999999</v>
      </c>
      <c r="V204" s="14">
        <f>VLOOKUP($D204,Notes!$B$2:$C$229,2,0)</f>
        <v>130.5</v>
      </c>
      <c r="W204" s="1">
        <v>133.19999999999999</v>
      </c>
      <c r="X204" s="1">
        <v>133.6</v>
      </c>
      <c r="Y204" s="1">
        <v>130.1</v>
      </c>
      <c r="Z204" s="1">
        <v>119.5</v>
      </c>
      <c r="AA204" s="1">
        <v>127.7</v>
      </c>
      <c r="AB204" s="1">
        <v>134.9</v>
      </c>
      <c r="AC204" s="1">
        <v>123.2</v>
      </c>
      <c r="AD204" s="1">
        <v>127</v>
      </c>
      <c r="AE204" s="1">
        <v>132.6</v>
      </c>
    </row>
    <row r="205" spans="1:31" x14ac:dyDescent="0.25">
      <c r="A205" s="1" t="s">
        <v>30</v>
      </c>
      <c r="B205" s="1">
        <v>2016</v>
      </c>
      <c r="C205" s="1" t="s">
        <v>40</v>
      </c>
      <c r="D205" s="1" t="s">
        <v>125</v>
      </c>
      <c r="E205" s="1">
        <v>129.30000000000001</v>
      </c>
      <c r="F205" s="1">
        <v>139.5</v>
      </c>
      <c r="G205" s="1">
        <v>129.6</v>
      </c>
      <c r="H205" s="1">
        <v>134.5</v>
      </c>
      <c r="I205" s="1">
        <v>119.5</v>
      </c>
      <c r="J205" s="1">
        <v>138.5</v>
      </c>
      <c r="K205" s="1">
        <v>158.19999999999999</v>
      </c>
      <c r="L205" s="1">
        <v>171.8</v>
      </c>
      <c r="M205" s="1">
        <v>110.3</v>
      </c>
      <c r="N205" s="1">
        <v>134.30000000000001</v>
      </c>
      <c r="O205" s="1">
        <v>127.3</v>
      </c>
      <c r="P205" s="1">
        <v>139.9</v>
      </c>
      <c r="Q205" s="1">
        <v>137.6</v>
      </c>
      <c r="R205" s="1">
        <v>138</v>
      </c>
      <c r="S205" s="1">
        <v>137.19999999999999</v>
      </c>
      <c r="T205" s="1">
        <v>132.19999999999999</v>
      </c>
      <c r="U205" s="1">
        <v>136.5</v>
      </c>
      <c r="V205" s="14">
        <f>VLOOKUP($D205,Notes!$B$2:$C$229,2,0)</f>
        <v>126.4</v>
      </c>
      <c r="W205" s="1">
        <v>128.19999999999999</v>
      </c>
      <c r="X205" s="1">
        <v>130</v>
      </c>
      <c r="Y205" s="1">
        <v>126.7</v>
      </c>
      <c r="Z205" s="1">
        <v>116.4</v>
      </c>
      <c r="AA205" s="1">
        <v>125.2</v>
      </c>
      <c r="AB205" s="1">
        <v>130.80000000000001</v>
      </c>
      <c r="AC205" s="1">
        <v>120.9</v>
      </c>
      <c r="AD205" s="1">
        <v>123.8</v>
      </c>
      <c r="AE205" s="1">
        <v>133</v>
      </c>
    </row>
    <row r="206" spans="1:31" x14ac:dyDescent="0.25">
      <c r="A206" s="1" t="s">
        <v>33</v>
      </c>
      <c r="B206" s="1">
        <v>2018</v>
      </c>
      <c r="C206" s="1" t="s">
        <v>36</v>
      </c>
      <c r="D206" s="1" t="s">
        <v>145</v>
      </c>
      <c r="E206" s="1">
        <v>135</v>
      </c>
      <c r="F206" s="1">
        <v>143.1</v>
      </c>
      <c r="G206" s="1">
        <v>135.5</v>
      </c>
      <c r="H206" s="1">
        <v>139.9</v>
      </c>
      <c r="I206" s="1">
        <v>116.5</v>
      </c>
      <c r="J206" s="1">
        <v>138.5</v>
      </c>
      <c r="K206" s="1">
        <v>128</v>
      </c>
      <c r="L206" s="1">
        <v>115.5</v>
      </c>
      <c r="M206" s="1">
        <v>114.2</v>
      </c>
      <c r="N206" s="1">
        <v>140.69999999999999</v>
      </c>
      <c r="O206" s="1">
        <v>126.2</v>
      </c>
      <c r="P206" s="1">
        <v>147.6</v>
      </c>
      <c r="Q206" s="1">
        <v>134.80000000000001</v>
      </c>
      <c r="R206" s="1">
        <v>159.69999999999999</v>
      </c>
      <c r="S206" s="1">
        <v>136.69999999999999</v>
      </c>
      <c r="T206" s="1">
        <v>126.7</v>
      </c>
      <c r="U206" s="1">
        <v>135.19999999999999</v>
      </c>
      <c r="V206" s="1">
        <v>142</v>
      </c>
      <c r="W206" s="1">
        <v>126.4</v>
      </c>
      <c r="X206" s="1">
        <v>130.80000000000001</v>
      </c>
      <c r="Y206" s="1">
        <v>130.5</v>
      </c>
      <c r="Z206" s="1">
        <v>117.8</v>
      </c>
      <c r="AA206" s="1">
        <v>126.8</v>
      </c>
      <c r="AB206" s="1">
        <v>137.80000000000001</v>
      </c>
      <c r="AC206" s="1">
        <v>126.7</v>
      </c>
      <c r="AD206" s="1">
        <v>127.1</v>
      </c>
      <c r="AE206" s="1">
        <v>134</v>
      </c>
    </row>
    <row r="207" spans="1:31" x14ac:dyDescent="0.25">
      <c r="A207" s="1" t="s">
        <v>33</v>
      </c>
      <c r="B207" s="1">
        <v>2018</v>
      </c>
      <c r="C207" s="1" t="s">
        <v>45</v>
      </c>
      <c r="D207" s="1" t="s">
        <v>154</v>
      </c>
      <c r="E207" s="1">
        <v>138.5</v>
      </c>
      <c r="F207" s="1">
        <v>147.80000000000001</v>
      </c>
      <c r="G207" s="1">
        <v>141.1</v>
      </c>
      <c r="H207" s="1">
        <v>141.6</v>
      </c>
      <c r="I207" s="1">
        <v>118.1</v>
      </c>
      <c r="J207" s="1">
        <v>138.5</v>
      </c>
      <c r="K207" s="1">
        <v>132.4</v>
      </c>
      <c r="L207" s="1">
        <v>117.5</v>
      </c>
      <c r="M207" s="1">
        <v>111</v>
      </c>
      <c r="N207" s="1">
        <v>141.5</v>
      </c>
      <c r="O207" s="1">
        <v>128.1</v>
      </c>
      <c r="P207" s="1">
        <v>152.9</v>
      </c>
      <c r="Q207" s="1">
        <v>137.6</v>
      </c>
      <c r="R207" s="1">
        <v>164.6</v>
      </c>
      <c r="S207" s="1">
        <v>142.69999999999999</v>
      </c>
      <c r="T207" s="1">
        <v>130.30000000000001</v>
      </c>
      <c r="U207" s="1">
        <v>140.80000000000001</v>
      </c>
      <c r="V207" s="1">
        <v>146.5</v>
      </c>
      <c r="W207" s="1">
        <v>132.4</v>
      </c>
      <c r="X207" s="1">
        <v>136.19999999999999</v>
      </c>
      <c r="Y207" s="1">
        <v>137.30000000000001</v>
      </c>
      <c r="Z207" s="1">
        <v>118.8</v>
      </c>
      <c r="AA207" s="1">
        <v>131.69999999999999</v>
      </c>
      <c r="AB207" s="1">
        <v>146.5</v>
      </c>
      <c r="AC207" s="1">
        <v>130.80000000000001</v>
      </c>
      <c r="AD207" s="1">
        <v>131.69999999999999</v>
      </c>
      <c r="AE207" s="1">
        <v>138</v>
      </c>
    </row>
    <row r="208" spans="1:31" x14ac:dyDescent="0.25">
      <c r="A208" s="1" t="s">
        <v>30</v>
      </c>
      <c r="B208" s="1">
        <v>2016</v>
      </c>
      <c r="C208" s="1" t="s">
        <v>43</v>
      </c>
      <c r="D208" s="1" t="s">
        <v>128</v>
      </c>
      <c r="E208" s="1">
        <v>131.30000000000001</v>
      </c>
      <c r="F208" s="1">
        <v>137.6</v>
      </c>
      <c r="G208" s="1">
        <v>130.1</v>
      </c>
      <c r="H208" s="1">
        <v>136</v>
      </c>
      <c r="I208" s="1">
        <v>120.8</v>
      </c>
      <c r="J208" s="1">
        <v>138.4</v>
      </c>
      <c r="K208" s="1">
        <v>149.19999999999999</v>
      </c>
      <c r="L208" s="1">
        <v>170.2</v>
      </c>
      <c r="M208" s="1">
        <v>113.4</v>
      </c>
      <c r="N208" s="1">
        <v>136.30000000000001</v>
      </c>
      <c r="O208" s="1">
        <v>128.69999999999999</v>
      </c>
      <c r="P208" s="1">
        <v>142.4</v>
      </c>
      <c r="Q208" s="1">
        <v>137.4</v>
      </c>
      <c r="R208" s="1">
        <v>140.9</v>
      </c>
      <c r="S208" s="1">
        <v>139.6</v>
      </c>
      <c r="T208" s="1">
        <v>134.30000000000001</v>
      </c>
      <c r="U208" s="1">
        <v>138.80000000000001</v>
      </c>
      <c r="V208" s="14">
        <f>VLOOKUP($D208,Notes!$B$2:$C$229,2,0)</f>
        <v>128.69999999999999</v>
      </c>
      <c r="W208" s="1">
        <v>129.80000000000001</v>
      </c>
      <c r="X208" s="1">
        <v>131.80000000000001</v>
      </c>
      <c r="Y208" s="1">
        <v>128.69999999999999</v>
      </c>
      <c r="Z208" s="1">
        <v>117.8</v>
      </c>
      <c r="AA208" s="1">
        <v>126.5</v>
      </c>
      <c r="AB208" s="1">
        <v>133</v>
      </c>
      <c r="AC208" s="1">
        <v>123</v>
      </c>
      <c r="AD208" s="1">
        <v>125.7</v>
      </c>
      <c r="AE208" s="1">
        <v>133.80000000000001</v>
      </c>
    </row>
    <row r="209" spans="1:31" x14ac:dyDescent="0.25">
      <c r="A209" s="1" t="s">
        <v>34</v>
      </c>
      <c r="B209" s="1">
        <v>2017</v>
      </c>
      <c r="C209" s="1" t="s">
        <v>36</v>
      </c>
      <c r="D209" s="1" t="s">
        <v>133</v>
      </c>
      <c r="E209" s="1">
        <v>133.30000000000001</v>
      </c>
      <c r="F209" s="1">
        <v>139</v>
      </c>
      <c r="G209" s="1">
        <v>128.6</v>
      </c>
      <c r="H209" s="1">
        <v>136.30000000000001</v>
      </c>
      <c r="I209" s="1">
        <v>118.8</v>
      </c>
      <c r="J209" s="1">
        <v>138.30000000000001</v>
      </c>
      <c r="K209" s="1">
        <v>120.5</v>
      </c>
      <c r="L209" s="1">
        <v>143.9</v>
      </c>
      <c r="M209" s="1">
        <v>118</v>
      </c>
      <c r="N209" s="1">
        <v>137.9</v>
      </c>
      <c r="O209" s="1">
        <v>127.2</v>
      </c>
      <c r="P209" s="1">
        <v>144</v>
      </c>
      <c r="Q209" s="1">
        <v>133.1</v>
      </c>
      <c r="R209" s="1">
        <v>145.1</v>
      </c>
      <c r="S209" s="1">
        <v>137.30000000000001</v>
      </c>
      <c r="T209" s="1">
        <v>130.6</v>
      </c>
      <c r="U209" s="1">
        <v>136.4</v>
      </c>
      <c r="V209" s="1">
        <v>131.1</v>
      </c>
      <c r="W209" s="1">
        <v>129.1</v>
      </c>
      <c r="X209" s="1">
        <v>130.1</v>
      </c>
      <c r="Y209" s="1">
        <v>127.8</v>
      </c>
      <c r="Z209" s="1">
        <v>117.6</v>
      </c>
      <c r="AA209" s="1">
        <v>125</v>
      </c>
      <c r="AB209" s="1">
        <v>133.80000000000001</v>
      </c>
      <c r="AC209" s="1">
        <v>122.6</v>
      </c>
      <c r="AD209" s="1">
        <v>125.1</v>
      </c>
      <c r="AE209" s="1">
        <v>130.9</v>
      </c>
    </row>
    <row r="210" spans="1:31" x14ac:dyDescent="0.25">
      <c r="A210" s="1" t="s">
        <v>30</v>
      </c>
      <c r="B210" s="1">
        <v>2016</v>
      </c>
      <c r="C210" s="1" t="s">
        <v>37</v>
      </c>
      <c r="D210" s="1" t="s">
        <v>122</v>
      </c>
      <c r="E210" s="1">
        <v>127.4</v>
      </c>
      <c r="F210" s="1">
        <v>135.4</v>
      </c>
      <c r="G210" s="1">
        <v>123.4</v>
      </c>
      <c r="H210" s="1">
        <v>131.30000000000001</v>
      </c>
      <c r="I210" s="1">
        <v>118.2</v>
      </c>
      <c r="J210" s="1">
        <v>138.1</v>
      </c>
      <c r="K210" s="1">
        <v>134.1</v>
      </c>
      <c r="L210" s="1">
        <v>162.69999999999999</v>
      </c>
      <c r="M210" s="1">
        <v>105</v>
      </c>
      <c r="N210" s="1">
        <v>131.4</v>
      </c>
      <c r="O210" s="1">
        <v>125.4</v>
      </c>
      <c r="P210" s="1">
        <v>137.4</v>
      </c>
      <c r="Q210" s="1">
        <v>131.80000000000001</v>
      </c>
      <c r="R210" s="1">
        <v>135.5</v>
      </c>
      <c r="S210" s="1">
        <v>135</v>
      </c>
      <c r="T210" s="1">
        <v>130.6</v>
      </c>
      <c r="U210" s="1">
        <v>134.4</v>
      </c>
      <c r="V210" s="14">
        <f>VLOOKUP($D210,Notes!$B$2:$C$229,2,0)</f>
        <v>125.6</v>
      </c>
      <c r="W210" s="1">
        <v>127</v>
      </c>
      <c r="X210" s="1">
        <v>128</v>
      </c>
      <c r="Y210" s="1">
        <v>125.2</v>
      </c>
      <c r="Z210" s="1">
        <v>114.4</v>
      </c>
      <c r="AA210" s="1">
        <v>123.2</v>
      </c>
      <c r="AB210" s="1">
        <v>127.9</v>
      </c>
      <c r="AC210" s="1">
        <v>118.4</v>
      </c>
      <c r="AD210" s="1">
        <v>121.7</v>
      </c>
      <c r="AE210" s="1">
        <v>129</v>
      </c>
    </row>
    <row r="211" spans="1:31" x14ac:dyDescent="0.25">
      <c r="A211" s="1" t="s">
        <v>30</v>
      </c>
      <c r="B211" s="1">
        <v>2016</v>
      </c>
      <c r="C211" s="1" t="s">
        <v>38</v>
      </c>
      <c r="D211" s="1" t="s">
        <v>123</v>
      </c>
      <c r="E211" s="1">
        <v>127.6</v>
      </c>
      <c r="F211" s="1">
        <v>137.5</v>
      </c>
      <c r="G211" s="1">
        <v>124.4</v>
      </c>
      <c r="H211" s="1">
        <v>132.4</v>
      </c>
      <c r="I211" s="1">
        <v>118.2</v>
      </c>
      <c r="J211" s="1">
        <v>138.1</v>
      </c>
      <c r="K211" s="1">
        <v>141.80000000000001</v>
      </c>
      <c r="L211" s="1">
        <v>166</v>
      </c>
      <c r="M211" s="1">
        <v>107.5</v>
      </c>
      <c r="N211" s="1">
        <v>132.19999999999999</v>
      </c>
      <c r="O211" s="1">
        <v>126.1</v>
      </c>
      <c r="P211" s="1">
        <v>138.30000000000001</v>
      </c>
      <c r="Q211" s="1">
        <v>133.6</v>
      </c>
      <c r="R211" s="1">
        <v>136</v>
      </c>
      <c r="S211" s="1">
        <v>135.4</v>
      </c>
      <c r="T211" s="1">
        <v>131.1</v>
      </c>
      <c r="U211" s="1">
        <v>134.80000000000001</v>
      </c>
      <c r="V211" s="14">
        <f>VLOOKUP($D211,Notes!$B$2:$C$229,2,0)</f>
        <v>126</v>
      </c>
      <c r="W211" s="1">
        <v>127.4</v>
      </c>
      <c r="X211" s="1">
        <v>128.5</v>
      </c>
      <c r="Y211" s="1">
        <v>125.8</v>
      </c>
      <c r="Z211" s="1">
        <v>115.1</v>
      </c>
      <c r="AA211" s="1">
        <v>123.6</v>
      </c>
      <c r="AB211" s="1">
        <v>129.1</v>
      </c>
      <c r="AC211" s="1">
        <v>119.7</v>
      </c>
      <c r="AD211" s="1">
        <v>122.5</v>
      </c>
      <c r="AE211" s="1">
        <v>130.30000000000001</v>
      </c>
    </row>
    <row r="212" spans="1:31" x14ac:dyDescent="0.25">
      <c r="A212" s="1" t="s">
        <v>34</v>
      </c>
      <c r="B212" s="1">
        <v>2016</v>
      </c>
      <c r="C212" s="1" t="s">
        <v>41</v>
      </c>
      <c r="D212" s="1" t="s">
        <v>126</v>
      </c>
      <c r="E212" s="1">
        <v>129.30000000000001</v>
      </c>
      <c r="F212" s="1">
        <v>139.30000000000001</v>
      </c>
      <c r="G212" s="1">
        <v>131.6</v>
      </c>
      <c r="H212" s="1">
        <v>134.1</v>
      </c>
      <c r="I212" s="1">
        <v>116.9</v>
      </c>
      <c r="J212" s="1">
        <v>138.1</v>
      </c>
      <c r="K212" s="1">
        <v>159.1</v>
      </c>
      <c r="L212" s="1">
        <v>175.6</v>
      </c>
      <c r="M212" s="1">
        <v>112.9</v>
      </c>
      <c r="N212" s="1">
        <v>138.1</v>
      </c>
      <c r="O212" s="1">
        <v>125.5</v>
      </c>
      <c r="P212" s="1">
        <v>139.5</v>
      </c>
      <c r="Q212" s="1">
        <v>137.9</v>
      </c>
      <c r="R212" s="1">
        <v>140.19999999999999</v>
      </c>
      <c r="S212" s="1">
        <v>134.1</v>
      </c>
      <c r="T212" s="1">
        <v>128.19999999999999</v>
      </c>
      <c r="U212" s="1">
        <v>133.19999999999999</v>
      </c>
      <c r="V212" s="1">
        <v>127.3</v>
      </c>
      <c r="W212" s="1">
        <v>123.6</v>
      </c>
      <c r="X212" s="1">
        <v>127.4</v>
      </c>
      <c r="Y212" s="1">
        <v>124.8</v>
      </c>
      <c r="Z212" s="1">
        <v>113.1</v>
      </c>
      <c r="AA212" s="1">
        <v>122.7</v>
      </c>
      <c r="AB212" s="1">
        <v>131.69999999999999</v>
      </c>
      <c r="AC212" s="1">
        <v>121.5</v>
      </c>
      <c r="AD212" s="1">
        <v>122.1</v>
      </c>
      <c r="AE212" s="1">
        <v>131.1</v>
      </c>
    </row>
    <row r="213" spans="1:31" x14ac:dyDescent="0.25">
      <c r="A213" s="1" t="s">
        <v>34</v>
      </c>
      <c r="B213" s="1">
        <v>2017</v>
      </c>
      <c r="C213" s="1" t="s">
        <v>38</v>
      </c>
      <c r="D213" s="1" t="s">
        <v>135</v>
      </c>
      <c r="E213" s="1">
        <v>132.9</v>
      </c>
      <c r="F213" s="1">
        <v>141.6</v>
      </c>
      <c r="G213" s="1">
        <v>126.3</v>
      </c>
      <c r="H213" s="1">
        <v>137.69999999999999</v>
      </c>
      <c r="I213" s="1">
        <v>118.1</v>
      </c>
      <c r="J213" s="1">
        <v>137.9</v>
      </c>
      <c r="K213" s="1">
        <v>125.6</v>
      </c>
      <c r="L213" s="1">
        <v>138.30000000000001</v>
      </c>
      <c r="M213" s="1">
        <v>119.4</v>
      </c>
      <c r="N213" s="1">
        <v>136</v>
      </c>
      <c r="O213" s="1">
        <v>127.6</v>
      </c>
      <c r="P213" s="1">
        <v>144.5</v>
      </c>
      <c r="Q213" s="1">
        <v>133.69999999999999</v>
      </c>
      <c r="R213" s="1">
        <v>146.19999999999999</v>
      </c>
      <c r="S213" s="1">
        <v>138.19999999999999</v>
      </c>
      <c r="T213" s="1">
        <v>131.4</v>
      </c>
      <c r="U213" s="1">
        <v>137.19999999999999</v>
      </c>
      <c r="V213" s="1">
        <v>132.1</v>
      </c>
      <c r="W213" s="1">
        <v>129.4</v>
      </c>
      <c r="X213" s="1">
        <v>130.9</v>
      </c>
      <c r="Y213" s="1">
        <v>128.4</v>
      </c>
      <c r="Z213" s="1">
        <v>116.7</v>
      </c>
      <c r="AA213" s="1">
        <v>125.7</v>
      </c>
      <c r="AB213" s="1">
        <v>134.80000000000001</v>
      </c>
      <c r="AC213" s="1">
        <v>123</v>
      </c>
      <c r="AD213" s="1">
        <v>125.3</v>
      </c>
      <c r="AE213" s="1">
        <v>131.4</v>
      </c>
    </row>
    <row r="214" spans="1:31" x14ac:dyDescent="0.25">
      <c r="A214" s="1" t="s">
        <v>34</v>
      </c>
      <c r="B214" s="1">
        <v>2016</v>
      </c>
      <c r="C214" s="1" t="s">
        <v>40</v>
      </c>
      <c r="D214" s="1" t="s">
        <v>125</v>
      </c>
      <c r="E214" s="1">
        <v>128.5</v>
      </c>
      <c r="F214" s="1">
        <v>141.19999999999999</v>
      </c>
      <c r="G214" s="1">
        <v>132.30000000000001</v>
      </c>
      <c r="H214" s="1">
        <v>133.5</v>
      </c>
      <c r="I214" s="1">
        <v>116.4</v>
      </c>
      <c r="J214" s="1">
        <v>137.80000000000001</v>
      </c>
      <c r="K214" s="1">
        <v>165.4</v>
      </c>
      <c r="L214" s="1">
        <v>177.4</v>
      </c>
      <c r="M214" s="1">
        <v>111.3</v>
      </c>
      <c r="N214" s="1">
        <v>137.5</v>
      </c>
      <c r="O214" s="1">
        <v>125</v>
      </c>
      <c r="P214" s="1">
        <v>138.80000000000001</v>
      </c>
      <c r="Q214" s="1">
        <v>138.4</v>
      </c>
      <c r="R214" s="1">
        <v>139.30000000000001</v>
      </c>
      <c r="S214" s="1">
        <v>133.5</v>
      </c>
      <c r="T214" s="1">
        <v>127.6</v>
      </c>
      <c r="U214" s="1">
        <v>132.69999999999999</v>
      </c>
      <c r="V214" s="1">
        <v>126.4</v>
      </c>
      <c r="W214" s="1">
        <v>123.4</v>
      </c>
      <c r="X214" s="1">
        <v>126.9</v>
      </c>
      <c r="Y214" s="1">
        <v>124.5</v>
      </c>
      <c r="Z214" s="1">
        <v>113.9</v>
      </c>
      <c r="AA214" s="1">
        <v>122.4</v>
      </c>
      <c r="AB214" s="1">
        <v>130.80000000000001</v>
      </c>
      <c r="AC214" s="1">
        <v>120.5</v>
      </c>
      <c r="AD214" s="1">
        <v>121.9</v>
      </c>
      <c r="AE214" s="1">
        <v>131.1</v>
      </c>
    </row>
    <row r="215" spans="1:31" x14ac:dyDescent="0.25">
      <c r="A215" s="1" t="s">
        <v>33</v>
      </c>
      <c r="B215" s="1">
        <v>2017</v>
      </c>
      <c r="C215" s="1" t="s">
        <v>37</v>
      </c>
      <c r="D215" s="1" t="s">
        <v>134</v>
      </c>
      <c r="E215" s="1">
        <v>132.69999999999999</v>
      </c>
      <c r="F215" s="1">
        <v>140.6</v>
      </c>
      <c r="G215" s="1">
        <v>124.5</v>
      </c>
      <c r="H215" s="1">
        <v>136.30000000000001</v>
      </c>
      <c r="I215" s="1">
        <v>113.5</v>
      </c>
      <c r="J215" s="1">
        <v>137.69999999999999</v>
      </c>
      <c r="K215" s="1">
        <v>127.1</v>
      </c>
      <c r="L215" s="1">
        <v>133.80000000000001</v>
      </c>
      <c r="M215" s="1">
        <v>120.8</v>
      </c>
      <c r="N215" s="1">
        <v>141.30000000000001</v>
      </c>
      <c r="O215" s="1">
        <v>123.8</v>
      </c>
      <c r="P215" s="1">
        <v>142.6</v>
      </c>
      <c r="Q215" s="1">
        <v>133.4</v>
      </c>
      <c r="R215" s="1">
        <v>148</v>
      </c>
      <c r="S215" s="1">
        <v>131.19999999999999</v>
      </c>
      <c r="T215" s="1">
        <v>123</v>
      </c>
      <c r="U215" s="1">
        <v>130</v>
      </c>
      <c r="V215" s="1">
        <v>131.69999999999999</v>
      </c>
      <c r="W215" s="1">
        <v>121.4</v>
      </c>
      <c r="X215" s="1">
        <v>126</v>
      </c>
      <c r="Y215" s="1">
        <v>123.4</v>
      </c>
      <c r="Z215" s="1">
        <v>114.3</v>
      </c>
      <c r="AA215" s="1">
        <v>122.6</v>
      </c>
      <c r="AB215" s="1">
        <v>133.6</v>
      </c>
      <c r="AC215" s="1">
        <v>122.2</v>
      </c>
      <c r="AD215" s="1">
        <v>122.5</v>
      </c>
      <c r="AE215" s="1">
        <v>129.1</v>
      </c>
    </row>
    <row r="216" spans="1:31" x14ac:dyDescent="0.25">
      <c r="A216" s="1" t="s">
        <v>34</v>
      </c>
      <c r="B216" s="1">
        <v>2019</v>
      </c>
      <c r="C216" s="1" t="s">
        <v>36</v>
      </c>
      <c r="D216" s="1" t="s">
        <v>157</v>
      </c>
      <c r="E216" s="1">
        <v>137.80000000000001</v>
      </c>
      <c r="F216" s="1">
        <v>153</v>
      </c>
      <c r="G216" s="1">
        <v>140.30000000000001</v>
      </c>
      <c r="H216" s="1">
        <v>142.30000000000001</v>
      </c>
      <c r="I216" s="1">
        <v>122</v>
      </c>
      <c r="J216" s="1">
        <v>137.6</v>
      </c>
      <c r="K216" s="1">
        <v>132.6</v>
      </c>
      <c r="L216" s="1">
        <v>121.8</v>
      </c>
      <c r="M216" s="1">
        <v>109</v>
      </c>
      <c r="N216" s="1">
        <v>139.5</v>
      </c>
      <c r="O216" s="1">
        <v>133.69999999999999</v>
      </c>
      <c r="P216" s="1">
        <v>155.19999999999999</v>
      </c>
      <c r="Q216" s="1">
        <v>138.1</v>
      </c>
      <c r="R216" s="1">
        <v>163.5</v>
      </c>
      <c r="S216" s="1">
        <v>147.9</v>
      </c>
      <c r="T216" s="1">
        <v>139.9</v>
      </c>
      <c r="U216" s="1">
        <v>146.69999999999999</v>
      </c>
      <c r="V216" s="1">
        <v>149</v>
      </c>
      <c r="W216" s="1">
        <v>139.69999999999999</v>
      </c>
      <c r="X216" s="1">
        <v>143.80000000000001</v>
      </c>
      <c r="Y216" s="1">
        <v>146.19999999999999</v>
      </c>
      <c r="Z216" s="1">
        <v>124.6</v>
      </c>
      <c r="AA216" s="1">
        <v>137.69999999999999</v>
      </c>
      <c r="AB216" s="1">
        <v>150.30000000000001</v>
      </c>
      <c r="AC216" s="1">
        <v>133.4</v>
      </c>
      <c r="AD216" s="1">
        <v>137.69999999999999</v>
      </c>
      <c r="AE216" s="1">
        <v>140.4</v>
      </c>
    </row>
    <row r="217" spans="1:31" x14ac:dyDescent="0.25">
      <c r="A217" s="1" t="s">
        <v>33</v>
      </c>
      <c r="B217" s="1">
        <v>2017</v>
      </c>
      <c r="C217" s="1" t="s">
        <v>42</v>
      </c>
      <c r="D217" s="1" t="s">
        <v>139</v>
      </c>
      <c r="E217" s="1">
        <v>133.6</v>
      </c>
      <c r="F217" s="1">
        <v>143</v>
      </c>
      <c r="G217" s="1">
        <v>129.69999999999999</v>
      </c>
      <c r="H217" s="1">
        <v>138.69999999999999</v>
      </c>
      <c r="I217" s="1">
        <v>114.5</v>
      </c>
      <c r="J217" s="1">
        <v>137.5</v>
      </c>
      <c r="K217" s="1">
        <v>160.69999999999999</v>
      </c>
      <c r="L217" s="1">
        <v>124.5</v>
      </c>
      <c r="M217" s="1">
        <v>122.4</v>
      </c>
      <c r="N217" s="1">
        <v>137.30000000000001</v>
      </c>
      <c r="O217" s="1">
        <v>124.8</v>
      </c>
      <c r="P217" s="1">
        <v>145</v>
      </c>
      <c r="Q217" s="1">
        <v>138</v>
      </c>
      <c r="R217" s="1">
        <v>153.6</v>
      </c>
      <c r="S217" s="1">
        <v>133.30000000000001</v>
      </c>
      <c r="T217" s="1">
        <v>124.6</v>
      </c>
      <c r="U217" s="1">
        <v>132</v>
      </c>
      <c r="V217" s="1">
        <v>135.69999999999999</v>
      </c>
      <c r="W217" s="1">
        <v>120.6</v>
      </c>
      <c r="X217" s="1">
        <v>128.1</v>
      </c>
      <c r="Y217" s="1">
        <v>126.1</v>
      </c>
      <c r="Z217" s="1">
        <v>115.7</v>
      </c>
      <c r="AA217" s="1">
        <v>124.5</v>
      </c>
      <c r="AB217" s="1">
        <v>135.9</v>
      </c>
      <c r="AC217" s="1">
        <v>124.4</v>
      </c>
      <c r="AD217" s="1">
        <v>124.5</v>
      </c>
      <c r="AE217" s="1">
        <v>132.4</v>
      </c>
    </row>
    <row r="218" spans="1:31" x14ac:dyDescent="0.25">
      <c r="A218" s="1" t="s">
        <v>30</v>
      </c>
      <c r="B218" s="1">
        <v>2016</v>
      </c>
      <c r="C218" s="1" t="s">
        <v>39</v>
      </c>
      <c r="D218" s="1" t="s">
        <v>124</v>
      </c>
      <c r="E218" s="1">
        <v>128.6</v>
      </c>
      <c r="F218" s="1">
        <v>138.6</v>
      </c>
      <c r="G218" s="1">
        <v>126.6</v>
      </c>
      <c r="H218" s="1">
        <v>133.6</v>
      </c>
      <c r="I218" s="1">
        <v>118.6</v>
      </c>
      <c r="J218" s="1">
        <v>137.4</v>
      </c>
      <c r="K218" s="1">
        <v>152.5</v>
      </c>
      <c r="L218" s="1">
        <v>169.2</v>
      </c>
      <c r="M218" s="1">
        <v>108.8</v>
      </c>
      <c r="N218" s="1">
        <v>133.1</v>
      </c>
      <c r="O218" s="1">
        <v>126.4</v>
      </c>
      <c r="P218" s="1">
        <v>139.19999999999999</v>
      </c>
      <c r="Q218" s="1">
        <v>136</v>
      </c>
      <c r="R218" s="1">
        <v>137.19999999999999</v>
      </c>
      <c r="S218" s="1">
        <v>136.30000000000001</v>
      </c>
      <c r="T218" s="1">
        <v>131.6</v>
      </c>
      <c r="U218" s="1">
        <v>135.6</v>
      </c>
      <c r="V218" s="14">
        <f>VLOOKUP($D218,Notes!$B$2:$C$229,2,0)</f>
        <v>125.5</v>
      </c>
      <c r="W218" s="1">
        <v>128</v>
      </c>
      <c r="X218" s="1">
        <v>129.30000000000001</v>
      </c>
      <c r="Y218" s="1">
        <v>126.2</v>
      </c>
      <c r="Z218" s="1">
        <v>116.3</v>
      </c>
      <c r="AA218" s="1">
        <v>124.1</v>
      </c>
      <c r="AB218" s="1">
        <v>130.19999999999999</v>
      </c>
      <c r="AC218" s="1">
        <v>119.9</v>
      </c>
      <c r="AD218" s="1">
        <v>123.3</v>
      </c>
      <c r="AE218" s="1">
        <v>131.9</v>
      </c>
    </row>
    <row r="219" spans="1:31" x14ac:dyDescent="0.25">
      <c r="A219" s="1" t="s">
        <v>33</v>
      </c>
      <c r="B219" s="1">
        <v>2017</v>
      </c>
      <c r="C219" s="1" t="s">
        <v>39</v>
      </c>
      <c r="D219" s="1" t="s">
        <v>136</v>
      </c>
      <c r="E219" s="1">
        <v>132.9</v>
      </c>
      <c r="F219" s="1">
        <v>148.69999999999999</v>
      </c>
      <c r="G219" s="1">
        <v>128.30000000000001</v>
      </c>
      <c r="H219" s="1">
        <v>137.30000000000001</v>
      </c>
      <c r="I219" s="1">
        <v>113.5</v>
      </c>
      <c r="J219" s="1">
        <v>137.19999999999999</v>
      </c>
      <c r="K219" s="1">
        <v>142.19999999999999</v>
      </c>
      <c r="L219" s="1">
        <v>128.19999999999999</v>
      </c>
      <c r="M219" s="1">
        <v>120.9</v>
      </c>
      <c r="N219" s="1">
        <v>138.80000000000001</v>
      </c>
      <c r="O219" s="1">
        <v>124.2</v>
      </c>
      <c r="P219" s="1">
        <v>143.1</v>
      </c>
      <c r="Q219" s="1">
        <v>135.69999999999999</v>
      </c>
      <c r="R219" s="1">
        <v>148.6</v>
      </c>
      <c r="S219" s="1">
        <v>131.5</v>
      </c>
      <c r="T219" s="1">
        <v>123.2</v>
      </c>
      <c r="U219" s="1">
        <v>130.19999999999999</v>
      </c>
      <c r="V219" s="1">
        <v>131.4</v>
      </c>
      <c r="W219" s="1">
        <v>119</v>
      </c>
      <c r="X219" s="1">
        <v>126.8</v>
      </c>
      <c r="Y219" s="1">
        <v>123.8</v>
      </c>
      <c r="Z219" s="1">
        <v>113.9</v>
      </c>
      <c r="AA219" s="1">
        <v>122.9</v>
      </c>
      <c r="AB219" s="1">
        <v>134.30000000000001</v>
      </c>
      <c r="AC219" s="1">
        <v>122.5</v>
      </c>
      <c r="AD219" s="1">
        <v>122.7</v>
      </c>
      <c r="AE219" s="1">
        <v>129.9</v>
      </c>
    </row>
    <row r="220" spans="1:31" x14ac:dyDescent="0.25">
      <c r="A220" s="1" t="s">
        <v>33</v>
      </c>
      <c r="B220" s="1">
        <v>2016</v>
      </c>
      <c r="C220" s="1" t="s">
        <v>40</v>
      </c>
      <c r="D220" s="1" t="s">
        <v>125</v>
      </c>
      <c r="E220" s="1">
        <v>126.8</v>
      </c>
      <c r="F220" s="1">
        <v>144.19999999999999</v>
      </c>
      <c r="G220" s="1">
        <v>136.6</v>
      </c>
      <c r="H220" s="1">
        <v>131.80000000000001</v>
      </c>
      <c r="I220" s="1">
        <v>111</v>
      </c>
      <c r="J220" s="1">
        <v>137</v>
      </c>
      <c r="K220" s="1">
        <v>179.5</v>
      </c>
      <c r="L220" s="1">
        <v>188.4</v>
      </c>
      <c r="M220" s="1">
        <v>113.3</v>
      </c>
      <c r="N220" s="1">
        <v>143.9</v>
      </c>
      <c r="O220" s="1">
        <v>121.7</v>
      </c>
      <c r="P220" s="1">
        <v>137.5</v>
      </c>
      <c r="Q220" s="1">
        <v>139.80000000000001</v>
      </c>
      <c r="R220" s="1">
        <v>142.9</v>
      </c>
      <c r="S220" s="1">
        <v>127.9</v>
      </c>
      <c r="T220" s="1">
        <v>121.1</v>
      </c>
      <c r="U220" s="1">
        <v>126.9</v>
      </c>
      <c r="V220" s="1">
        <v>126.4</v>
      </c>
      <c r="W220" s="1">
        <v>115.5</v>
      </c>
      <c r="X220" s="1">
        <v>123.5</v>
      </c>
      <c r="Y220" s="1">
        <v>120.9</v>
      </c>
      <c r="Z220" s="1">
        <v>111.7</v>
      </c>
      <c r="AA220" s="1">
        <v>120.3</v>
      </c>
      <c r="AB220" s="1">
        <v>130.80000000000001</v>
      </c>
      <c r="AC220" s="1">
        <v>120</v>
      </c>
      <c r="AD220" s="1">
        <v>119.9</v>
      </c>
      <c r="AE220" s="1">
        <v>129</v>
      </c>
    </row>
    <row r="221" spans="1:31" x14ac:dyDescent="0.25">
      <c r="A221" s="1" t="s">
        <v>33</v>
      </c>
      <c r="B221" s="1">
        <v>2019</v>
      </c>
      <c r="C221" s="1" t="s">
        <v>35</v>
      </c>
      <c r="D221" s="1" t="s">
        <v>156</v>
      </c>
      <c r="E221" s="1">
        <v>139.4</v>
      </c>
      <c r="F221" s="1">
        <v>150.1</v>
      </c>
      <c r="G221" s="1">
        <v>145.30000000000001</v>
      </c>
      <c r="H221" s="1">
        <v>141.69999999999999</v>
      </c>
      <c r="I221" s="1">
        <v>118.4</v>
      </c>
      <c r="J221" s="1">
        <v>137</v>
      </c>
      <c r="K221" s="1">
        <v>131.6</v>
      </c>
      <c r="L221" s="1">
        <v>119.9</v>
      </c>
      <c r="M221" s="1">
        <v>110.4</v>
      </c>
      <c r="N221" s="1">
        <v>140.80000000000001</v>
      </c>
      <c r="O221" s="1">
        <v>128.30000000000001</v>
      </c>
      <c r="P221" s="1">
        <v>153.5</v>
      </c>
      <c r="Q221" s="1">
        <v>138</v>
      </c>
      <c r="R221" s="1">
        <v>164.9</v>
      </c>
      <c r="S221" s="1">
        <v>143.30000000000001</v>
      </c>
      <c r="T221" s="1">
        <v>130.80000000000001</v>
      </c>
      <c r="U221" s="1">
        <v>141.4</v>
      </c>
      <c r="V221" s="1">
        <v>148.5</v>
      </c>
      <c r="W221" s="1">
        <v>127.1</v>
      </c>
      <c r="X221" s="1">
        <v>136.6</v>
      </c>
      <c r="Y221" s="1">
        <v>138.5</v>
      </c>
      <c r="Z221" s="1">
        <v>119.2</v>
      </c>
      <c r="AA221" s="1">
        <v>132.19999999999999</v>
      </c>
      <c r="AB221" s="1">
        <v>146.6</v>
      </c>
      <c r="AC221" s="1">
        <v>133</v>
      </c>
      <c r="AD221" s="1">
        <v>132.4</v>
      </c>
      <c r="AE221" s="1">
        <v>138.6</v>
      </c>
    </row>
    <row r="222" spans="1:31" x14ac:dyDescent="0.25">
      <c r="A222" s="1" t="s">
        <v>30</v>
      </c>
      <c r="B222" s="1">
        <v>2016</v>
      </c>
      <c r="C222" s="1" t="s">
        <v>44</v>
      </c>
      <c r="D222" s="1" t="s">
        <v>129</v>
      </c>
      <c r="E222" s="1">
        <v>132</v>
      </c>
      <c r="F222" s="1">
        <v>137.4</v>
      </c>
      <c r="G222" s="1">
        <v>130.6</v>
      </c>
      <c r="H222" s="1">
        <v>136.19999999999999</v>
      </c>
      <c r="I222" s="1">
        <v>121.1</v>
      </c>
      <c r="J222" s="1">
        <v>136.9</v>
      </c>
      <c r="K222" s="1">
        <v>141.80000000000001</v>
      </c>
      <c r="L222" s="1">
        <v>170</v>
      </c>
      <c r="M222" s="1">
        <v>113.4</v>
      </c>
      <c r="N222" s="1">
        <v>136.80000000000001</v>
      </c>
      <c r="O222" s="1">
        <v>128.69999999999999</v>
      </c>
      <c r="P222" s="1">
        <v>143.1</v>
      </c>
      <c r="Q222" s="1">
        <v>136.6</v>
      </c>
      <c r="R222" s="1">
        <v>141.19999999999999</v>
      </c>
      <c r="S222" s="1">
        <v>139.9</v>
      </c>
      <c r="T222" s="1">
        <v>134.5</v>
      </c>
      <c r="U222" s="1">
        <v>139.19999999999999</v>
      </c>
      <c r="V222" s="14">
        <f>VLOOKUP($D222,Notes!$B$2:$C$229,2,0)</f>
        <v>129.1</v>
      </c>
      <c r="W222" s="1">
        <v>130.30000000000001</v>
      </c>
      <c r="X222" s="1">
        <v>132.1</v>
      </c>
      <c r="Y222" s="1">
        <v>129.1</v>
      </c>
      <c r="Z222" s="1">
        <v>118.2</v>
      </c>
      <c r="AA222" s="1">
        <v>126.9</v>
      </c>
      <c r="AB222" s="1">
        <v>133.69999999999999</v>
      </c>
      <c r="AC222" s="1">
        <v>123.5</v>
      </c>
      <c r="AD222" s="1">
        <v>126.1</v>
      </c>
      <c r="AE222" s="1">
        <v>133.6</v>
      </c>
    </row>
    <row r="223" spans="1:31" x14ac:dyDescent="0.25">
      <c r="A223" s="1" t="s">
        <v>33</v>
      </c>
      <c r="B223" s="1">
        <v>2017</v>
      </c>
      <c r="C223" s="1" t="s">
        <v>36</v>
      </c>
      <c r="D223" s="1" t="s">
        <v>133</v>
      </c>
      <c r="E223" s="1">
        <v>132.69999999999999</v>
      </c>
      <c r="F223" s="1">
        <v>139.4</v>
      </c>
      <c r="G223" s="1">
        <v>128.4</v>
      </c>
      <c r="H223" s="1">
        <v>134.9</v>
      </c>
      <c r="I223" s="1">
        <v>114</v>
      </c>
      <c r="J223" s="1">
        <v>136.80000000000001</v>
      </c>
      <c r="K223" s="1">
        <v>122.2</v>
      </c>
      <c r="L223" s="1">
        <v>135.80000000000001</v>
      </c>
      <c r="M223" s="1">
        <v>120.3</v>
      </c>
      <c r="N223" s="1">
        <v>142.6</v>
      </c>
      <c r="O223" s="1">
        <v>123.6</v>
      </c>
      <c r="P223" s="1">
        <v>142.4</v>
      </c>
      <c r="Q223" s="1">
        <v>132.6</v>
      </c>
      <c r="R223" s="1">
        <v>147.5</v>
      </c>
      <c r="S223" s="1">
        <v>130.80000000000001</v>
      </c>
      <c r="T223" s="1">
        <v>122.8</v>
      </c>
      <c r="U223" s="1">
        <v>129.6</v>
      </c>
      <c r="V223" s="1">
        <v>131.1</v>
      </c>
      <c r="W223" s="1">
        <v>120.8</v>
      </c>
      <c r="X223" s="1">
        <v>125.6</v>
      </c>
      <c r="Y223" s="1">
        <v>123.1</v>
      </c>
      <c r="Z223" s="1">
        <v>115.6</v>
      </c>
      <c r="AA223" s="1">
        <v>122.4</v>
      </c>
      <c r="AB223" s="1">
        <v>132.80000000000001</v>
      </c>
      <c r="AC223" s="1">
        <v>121.7</v>
      </c>
      <c r="AD223" s="1">
        <v>122.6</v>
      </c>
      <c r="AE223" s="1">
        <v>128.69999999999999</v>
      </c>
    </row>
    <row r="224" spans="1:31" x14ac:dyDescent="0.25">
      <c r="A224" s="1" t="s">
        <v>34</v>
      </c>
      <c r="B224" s="1">
        <v>2016</v>
      </c>
      <c r="C224" s="1" t="s">
        <v>39</v>
      </c>
      <c r="D224" s="1" t="s">
        <v>124</v>
      </c>
      <c r="E224" s="1">
        <v>127.7</v>
      </c>
      <c r="F224" s="1">
        <v>140.5</v>
      </c>
      <c r="G224" s="1">
        <v>128.30000000000001</v>
      </c>
      <c r="H224" s="1">
        <v>132.6</v>
      </c>
      <c r="I224" s="1">
        <v>115.5</v>
      </c>
      <c r="J224" s="1">
        <v>136.5</v>
      </c>
      <c r="K224" s="1">
        <v>159.69999999999999</v>
      </c>
      <c r="L224" s="1">
        <v>174.3</v>
      </c>
      <c r="M224" s="1">
        <v>109.9</v>
      </c>
      <c r="N224" s="1">
        <v>136.30000000000001</v>
      </c>
      <c r="O224" s="1">
        <v>124.4</v>
      </c>
      <c r="P224" s="1">
        <v>138.1</v>
      </c>
      <c r="Q224" s="1">
        <v>136.80000000000001</v>
      </c>
      <c r="R224" s="1">
        <v>138.69999999999999</v>
      </c>
      <c r="S224" s="1">
        <v>132.9</v>
      </c>
      <c r="T224" s="1">
        <v>127.2</v>
      </c>
      <c r="U224" s="1">
        <v>132</v>
      </c>
      <c r="V224" s="1">
        <v>125.5</v>
      </c>
      <c r="W224" s="1">
        <v>123.3</v>
      </c>
      <c r="X224" s="1">
        <v>126.4</v>
      </c>
      <c r="Y224" s="1">
        <v>124.1</v>
      </c>
      <c r="Z224" s="1">
        <v>114.2</v>
      </c>
      <c r="AA224" s="1">
        <v>121.7</v>
      </c>
      <c r="AB224" s="1">
        <v>129.69999999999999</v>
      </c>
      <c r="AC224" s="1">
        <v>119.4</v>
      </c>
      <c r="AD224" s="1">
        <v>121.5</v>
      </c>
      <c r="AE224" s="1">
        <v>130.1</v>
      </c>
    </row>
    <row r="225" spans="1:31" x14ac:dyDescent="0.25">
      <c r="A225" s="1" t="s">
        <v>33</v>
      </c>
      <c r="B225" s="1">
        <v>2017</v>
      </c>
      <c r="C225" s="1" t="s">
        <v>44</v>
      </c>
      <c r="D225" s="1" t="s">
        <v>141</v>
      </c>
      <c r="E225" s="1">
        <v>134.30000000000001</v>
      </c>
      <c r="F225" s="1">
        <v>142.1</v>
      </c>
      <c r="G225" s="1">
        <v>146.69999999999999</v>
      </c>
      <c r="H225" s="1">
        <v>139.5</v>
      </c>
      <c r="I225" s="1">
        <v>115.2</v>
      </c>
      <c r="J225" s="1">
        <v>136.4</v>
      </c>
      <c r="K225" s="1">
        <v>185.2</v>
      </c>
      <c r="L225" s="1">
        <v>122.2</v>
      </c>
      <c r="M225" s="1">
        <v>123.9</v>
      </c>
      <c r="N225" s="1">
        <v>138.30000000000001</v>
      </c>
      <c r="O225" s="1">
        <v>125.4</v>
      </c>
      <c r="P225" s="1">
        <v>146</v>
      </c>
      <c r="Q225" s="1">
        <v>141.5</v>
      </c>
      <c r="R225" s="1">
        <v>156.19999999999999</v>
      </c>
      <c r="S225" s="1">
        <v>135</v>
      </c>
      <c r="T225" s="1">
        <v>125.4</v>
      </c>
      <c r="U225" s="1">
        <v>133.5</v>
      </c>
      <c r="V225" s="1">
        <v>138.6</v>
      </c>
      <c r="W225" s="1">
        <v>125.7</v>
      </c>
      <c r="X225" s="1">
        <v>128.80000000000001</v>
      </c>
      <c r="Y225" s="1">
        <v>127.4</v>
      </c>
      <c r="Z225" s="1">
        <v>115.3</v>
      </c>
      <c r="AA225" s="1">
        <v>125.1</v>
      </c>
      <c r="AB225" s="1">
        <v>136.6</v>
      </c>
      <c r="AC225" s="1">
        <v>124.9</v>
      </c>
      <c r="AD225" s="1">
        <v>124.9</v>
      </c>
      <c r="AE225" s="1">
        <v>134.80000000000001</v>
      </c>
    </row>
    <row r="226" spans="1:31" x14ac:dyDescent="0.25">
      <c r="A226" s="1" t="s">
        <v>34</v>
      </c>
      <c r="B226" s="1">
        <v>2019</v>
      </c>
      <c r="C226" s="1" t="s">
        <v>35</v>
      </c>
      <c r="D226" s="1" t="s">
        <v>156</v>
      </c>
      <c r="E226" s="1">
        <v>137.6</v>
      </c>
      <c r="F226" s="1">
        <v>152</v>
      </c>
      <c r="G226" s="1">
        <v>141.5</v>
      </c>
      <c r="H226" s="1">
        <v>142.19999999999999</v>
      </c>
      <c r="I226" s="1">
        <v>122</v>
      </c>
      <c r="J226" s="1">
        <v>136.4</v>
      </c>
      <c r="K226" s="1">
        <v>129.69999999999999</v>
      </c>
      <c r="L226" s="1">
        <v>121</v>
      </c>
      <c r="M226" s="1">
        <v>109</v>
      </c>
      <c r="N226" s="1">
        <v>139.69999999999999</v>
      </c>
      <c r="O226" s="1">
        <v>133.6</v>
      </c>
      <c r="P226" s="1">
        <v>154.9</v>
      </c>
      <c r="Q226" s="1">
        <v>137.5</v>
      </c>
      <c r="R226" s="1">
        <v>163.4</v>
      </c>
      <c r="S226" s="1">
        <v>147.69999999999999</v>
      </c>
      <c r="T226" s="1">
        <v>139.69999999999999</v>
      </c>
      <c r="U226" s="1">
        <v>146.5</v>
      </c>
      <c r="V226" s="1">
        <v>148.5</v>
      </c>
      <c r="W226" s="1">
        <v>138.4</v>
      </c>
      <c r="X226" s="1">
        <v>143.69999999999999</v>
      </c>
      <c r="Y226" s="1">
        <v>145.6</v>
      </c>
      <c r="Z226" s="1">
        <v>123.9</v>
      </c>
      <c r="AA226" s="1">
        <v>137.1</v>
      </c>
      <c r="AB226" s="1">
        <v>150.30000000000001</v>
      </c>
      <c r="AC226" s="1">
        <v>134.1</v>
      </c>
      <c r="AD226" s="1">
        <v>137.4</v>
      </c>
      <c r="AE226" s="1">
        <v>139.9</v>
      </c>
    </row>
    <row r="227" spans="1:31" x14ac:dyDescent="0.25">
      <c r="A227" s="1" t="s">
        <v>34</v>
      </c>
      <c r="B227" s="1">
        <v>2016</v>
      </c>
      <c r="C227" s="1" t="s">
        <v>42</v>
      </c>
      <c r="D227" s="1" t="s">
        <v>127</v>
      </c>
      <c r="E227" s="1">
        <v>129.9</v>
      </c>
      <c r="F227" s="1">
        <v>138</v>
      </c>
      <c r="G227" s="1">
        <v>130.5</v>
      </c>
      <c r="H227" s="1">
        <v>134.4</v>
      </c>
      <c r="I227" s="1">
        <v>117.2</v>
      </c>
      <c r="J227" s="1">
        <v>136.1</v>
      </c>
      <c r="K227" s="1">
        <v>150.69999999999999</v>
      </c>
      <c r="L227" s="1">
        <v>171.5</v>
      </c>
      <c r="M227" s="1">
        <v>113.8</v>
      </c>
      <c r="N227" s="1">
        <v>138.80000000000001</v>
      </c>
      <c r="O227" s="1">
        <v>126</v>
      </c>
      <c r="P227" s="1">
        <v>140.19999999999999</v>
      </c>
      <c r="Q227" s="1">
        <v>136.6</v>
      </c>
      <c r="R227" s="1">
        <v>141</v>
      </c>
      <c r="S227" s="1">
        <v>134.6</v>
      </c>
      <c r="T227" s="1">
        <v>128.6</v>
      </c>
      <c r="U227" s="1">
        <v>133.80000000000001</v>
      </c>
      <c r="V227" s="1">
        <v>127.9</v>
      </c>
      <c r="W227" s="1">
        <v>124.1</v>
      </c>
      <c r="X227" s="1">
        <v>127.9</v>
      </c>
      <c r="Y227" s="1">
        <v>125.4</v>
      </c>
      <c r="Z227" s="1">
        <v>114.3</v>
      </c>
      <c r="AA227" s="1">
        <v>122.9</v>
      </c>
      <c r="AB227" s="1">
        <v>131.80000000000001</v>
      </c>
      <c r="AC227" s="1">
        <v>122.1</v>
      </c>
      <c r="AD227" s="1">
        <v>122.8</v>
      </c>
      <c r="AE227" s="1">
        <v>130.9</v>
      </c>
    </row>
    <row r="228" spans="1:31" x14ac:dyDescent="0.25">
      <c r="A228" s="1" t="s">
        <v>30</v>
      </c>
      <c r="B228" s="1">
        <v>2019</v>
      </c>
      <c r="C228" s="1" t="s">
        <v>36</v>
      </c>
      <c r="D228" s="1" t="s">
        <v>157</v>
      </c>
      <c r="E228" s="1">
        <v>136.9</v>
      </c>
      <c r="F228" s="1">
        <v>154.1</v>
      </c>
      <c r="G228" s="1">
        <v>138.69999999999999</v>
      </c>
      <c r="H228" s="1">
        <v>142.5</v>
      </c>
      <c r="I228" s="1">
        <v>124.1</v>
      </c>
      <c r="J228" s="1">
        <v>136.1</v>
      </c>
      <c r="K228" s="1">
        <v>128.19999999999999</v>
      </c>
      <c r="L228" s="1">
        <v>122.3</v>
      </c>
      <c r="M228" s="1">
        <v>108.3</v>
      </c>
      <c r="N228" s="1">
        <v>138.9</v>
      </c>
      <c r="O228" s="1">
        <v>137.4</v>
      </c>
      <c r="P228" s="1">
        <v>156.4</v>
      </c>
      <c r="Q228" s="1">
        <v>137.30000000000001</v>
      </c>
      <c r="R228" s="1">
        <v>162.9</v>
      </c>
      <c r="S228" s="1">
        <v>150.80000000000001</v>
      </c>
      <c r="T228" s="1">
        <v>146.1</v>
      </c>
      <c r="U228" s="1">
        <v>150.1</v>
      </c>
      <c r="V228" s="14">
        <f>VLOOKUP($D228,Notes!$B$2:$C$229,2,0)</f>
        <v>149</v>
      </c>
      <c r="W228" s="1">
        <v>146.4</v>
      </c>
      <c r="X228" s="1">
        <v>150</v>
      </c>
      <c r="Y228" s="1">
        <v>150.4</v>
      </c>
      <c r="Z228" s="1">
        <v>129.9</v>
      </c>
      <c r="AA228" s="1">
        <v>143.80000000000001</v>
      </c>
      <c r="AB228" s="1">
        <v>155.5</v>
      </c>
      <c r="AC228" s="1">
        <v>134</v>
      </c>
      <c r="AD228" s="1">
        <v>142.4</v>
      </c>
      <c r="AE228" s="1">
        <v>141.19999999999999</v>
      </c>
    </row>
    <row r="229" spans="1:31" x14ac:dyDescent="0.25">
      <c r="A229" s="1" t="s">
        <v>34</v>
      </c>
      <c r="B229" s="1">
        <v>2016</v>
      </c>
      <c r="C229" s="1" t="s">
        <v>38</v>
      </c>
      <c r="D229" s="1" t="s">
        <v>123</v>
      </c>
      <c r="E229" s="1">
        <v>126.8</v>
      </c>
      <c r="F229" s="1">
        <v>139.1</v>
      </c>
      <c r="G229" s="1">
        <v>125.4</v>
      </c>
      <c r="H229" s="1">
        <v>131.69999999999999</v>
      </c>
      <c r="I229" s="1">
        <v>115</v>
      </c>
      <c r="J229" s="1">
        <v>136</v>
      </c>
      <c r="K229" s="1">
        <v>145.1</v>
      </c>
      <c r="L229" s="1">
        <v>171.7</v>
      </c>
      <c r="M229" s="1">
        <v>108.7</v>
      </c>
      <c r="N229" s="1">
        <v>135.30000000000001</v>
      </c>
      <c r="O229" s="1">
        <v>124.2</v>
      </c>
      <c r="P229" s="1">
        <v>137.4</v>
      </c>
      <c r="Q229" s="1">
        <v>134</v>
      </c>
      <c r="R229" s="1">
        <v>137.69999999999999</v>
      </c>
      <c r="S229" s="1">
        <v>132.19999999999999</v>
      </c>
      <c r="T229" s="1">
        <v>126.8</v>
      </c>
      <c r="U229" s="1">
        <v>131.4</v>
      </c>
      <c r="V229" s="1">
        <v>126</v>
      </c>
      <c r="W229" s="1">
        <v>122.7</v>
      </c>
      <c r="X229" s="1">
        <v>126</v>
      </c>
      <c r="Y229" s="1">
        <v>123.7</v>
      </c>
      <c r="Z229" s="1">
        <v>112.8</v>
      </c>
      <c r="AA229" s="1">
        <v>121.5</v>
      </c>
      <c r="AB229" s="1">
        <v>128.5</v>
      </c>
      <c r="AC229" s="1">
        <v>119.2</v>
      </c>
      <c r="AD229" s="1">
        <v>120.7</v>
      </c>
      <c r="AE229" s="1">
        <v>128.6</v>
      </c>
    </row>
    <row r="230" spans="1:31" x14ac:dyDescent="0.25">
      <c r="A230" s="1" t="s">
        <v>30</v>
      </c>
      <c r="B230" s="1">
        <v>2017</v>
      </c>
      <c r="C230" s="1" t="s">
        <v>31</v>
      </c>
      <c r="D230" s="1" t="s">
        <v>131</v>
      </c>
      <c r="E230" s="1">
        <v>133.1</v>
      </c>
      <c r="F230" s="1">
        <v>137.80000000000001</v>
      </c>
      <c r="G230" s="1">
        <v>131.9</v>
      </c>
      <c r="H230" s="1">
        <v>136.69999999999999</v>
      </c>
      <c r="I230" s="1">
        <v>122</v>
      </c>
      <c r="J230" s="1">
        <v>136</v>
      </c>
      <c r="K230" s="1">
        <v>119.8</v>
      </c>
      <c r="L230" s="1">
        <v>161.69999999999999</v>
      </c>
      <c r="M230" s="1">
        <v>114.8</v>
      </c>
      <c r="N230" s="1">
        <v>136.9</v>
      </c>
      <c r="O230" s="1">
        <v>129</v>
      </c>
      <c r="P230" s="1">
        <v>143.9</v>
      </c>
      <c r="Q230" s="1">
        <v>133.69999999999999</v>
      </c>
      <c r="R230" s="1">
        <v>143.1</v>
      </c>
      <c r="S230" s="1">
        <v>140.69999999999999</v>
      </c>
      <c r="T230" s="1">
        <v>135.80000000000001</v>
      </c>
      <c r="U230" s="1">
        <v>140</v>
      </c>
      <c r="V230" s="14">
        <f>VLOOKUP($D230,Notes!$B$2:$C$229,2,0)</f>
        <v>129.6</v>
      </c>
      <c r="W230" s="1">
        <v>132.1</v>
      </c>
      <c r="X230" s="1">
        <v>133.19999999999999</v>
      </c>
      <c r="Y230" s="1">
        <v>129.9</v>
      </c>
      <c r="Z230" s="1">
        <v>119.1</v>
      </c>
      <c r="AA230" s="1">
        <v>127</v>
      </c>
      <c r="AB230" s="1">
        <v>134.6</v>
      </c>
      <c r="AC230" s="1">
        <v>122.3</v>
      </c>
      <c r="AD230" s="1">
        <v>126.6</v>
      </c>
      <c r="AE230" s="1">
        <v>132.4</v>
      </c>
    </row>
    <row r="231" spans="1:31" x14ac:dyDescent="0.25">
      <c r="A231" s="1" t="s">
        <v>33</v>
      </c>
      <c r="B231" s="1">
        <v>2016</v>
      </c>
      <c r="C231" s="1" t="s">
        <v>41</v>
      </c>
      <c r="D231" s="1" t="s">
        <v>126</v>
      </c>
      <c r="E231" s="1">
        <v>127.6</v>
      </c>
      <c r="F231" s="1">
        <v>140.30000000000001</v>
      </c>
      <c r="G231" s="1">
        <v>133.69999999999999</v>
      </c>
      <c r="H231" s="1">
        <v>132.19999999999999</v>
      </c>
      <c r="I231" s="1">
        <v>111.8</v>
      </c>
      <c r="J231" s="1">
        <v>135.80000000000001</v>
      </c>
      <c r="K231" s="1">
        <v>163.5</v>
      </c>
      <c r="L231" s="1">
        <v>182.3</v>
      </c>
      <c r="M231" s="1">
        <v>114.6</v>
      </c>
      <c r="N231" s="1">
        <v>144.6</v>
      </c>
      <c r="O231" s="1">
        <v>121.9</v>
      </c>
      <c r="P231" s="1">
        <v>138.1</v>
      </c>
      <c r="Q231" s="1">
        <v>137.6</v>
      </c>
      <c r="R231" s="1">
        <v>143.6</v>
      </c>
      <c r="S231" s="1">
        <v>128.30000000000001</v>
      </c>
      <c r="T231" s="1">
        <v>121.4</v>
      </c>
      <c r="U231" s="1">
        <v>127.3</v>
      </c>
      <c r="V231" s="1">
        <v>127.3</v>
      </c>
      <c r="W231" s="1">
        <v>114.7</v>
      </c>
      <c r="X231" s="1">
        <v>123.9</v>
      </c>
      <c r="Y231" s="1">
        <v>121.2</v>
      </c>
      <c r="Z231" s="1">
        <v>110.4</v>
      </c>
      <c r="AA231" s="1">
        <v>120.6</v>
      </c>
      <c r="AB231" s="1">
        <v>131.5</v>
      </c>
      <c r="AC231" s="1">
        <v>120.9</v>
      </c>
      <c r="AD231" s="1">
        <v>119.9</v>
      </c>
      <c r="AE231" s="1">
        <v>128.4</v>
      </c>
    </row>
    <row r="232" spans="1:31" x14ac:dyDescent="0.25">
      <c r="A232" s="1" t="s">
        <v>30</v>
      </c>
      <c r="B232" s="1">
        <v>2019</v>
      </c>
      <c r="C232" s="1" t="s">
        <v>35</v>
      </c>
      <c r="D232" s="1" t="s">
        <v>156</v>
      </c>
      <c r="E232" s="1">
        <v>136.80000000000001</v>
      </c>
      <c r="F232" s="1">
        <v>153</v>
      </c>
      <c r="G232" s="1">
        <v>139.1</v>
      </c>
      <c r="H232" s="1">
        <v>142.5</v>
      </c>
      <c r="I232" s="1">
        <v>124.1</v>
      </c>
      <c r="J232" s="1">
        <v>135.80000000000001</v>
      </c>
      <c r="K232" s="1">
        <v>128.69999999999999</v>
      </c>
      <c r="L232" s="1">
        <v>121.5</v>
      </c>
      <c r="M232" s="1">
        <v>108.3</v>
      </c>
      <c r="N232" s="1">
        <v>139.19999999999999</v>
      </c>
      <c r="O232" s="1">
        <v>137.4</v>
      </c>
      <c r="P232" s="1">
        <v>156.19999999999999</v>
      </c>
      <c r="Q232" s="1">
        <v>137.19999999999999</v>
      </c>
      <c r="R232" s="1">
        <v>162.80000000000001</v>
      </c>
      <c r="S232" s="1">
        <v>150.5</v>
      </c>
      <c r="T232" s="1">
        <v>146.1</v>
      </c>
      <c r="U232" s="1">
        <v>149.9</v>
      </c>
      <c r="V232" s="14">
        <f>VLOOKUP($D232,Notes!$B$2:$C$229,2,0)</f>
        <v>148.5</v>
      </c>
      <c r="W232" s="1">
        <v>145.30000000000001</v>
      </c>
      <c r="X232" s="1">
        <v>150.1</v>
      </c>
      <c r="Y232" s="1">
        <v>149.9</v>
      </c>
      <c r="Z232" s="1">
        <v>129.19999999999999</v>
      </c>
      <c r="AA232" s="1">
        <v>143.4</v>
      </c>
      <c r="AB232" s="1">
        <v>155.5</v>
      </c>
      <c r="AC232" s="1">
        <v>134.9</v>
      </c>
      <c r="AD232" s="1">
        <v>142.19999999999999</v>
      </c>
      <c r="AE232" s="1">
        <v>141</v>
      </c>
    </row>
    <row r="233" spans="1:31" x14ac:dyDescent="0.25">
      <c r="A233" s="1" t="s">
        <v>30</v>
      </c>
      <c r="B233" s="1">
        <v>2016</v>
      </c>
      <c r="C233" s="1" t="s">
        <v>45</v>
      </c>
      <c r="D233" s="1" t="s">
        <v>130</v>
      </c>
      <c r="E233" s="1">
        <v>132.6</v>
      </c>
      <c r="F233" s="1">
        <v>137.30000000000001</v>
      </c>
      <c r="G233" s="1">
        <v>131.6</v>
      </c>
      <c r="H233" s="1">
        <v>136.30000000000001</v>
      </c>
      <c r="I233" s="1">
        <v>121.6</v>
      </c>
      <c r="J233" s="1">
        <v>135.6</v>
      </c>
      <c r="K233" s="1">
        <v>127.5</v>
      </c>
      <c r="L233" s="1">
        <v>167.9</v>
      </c>
      <c r="M233" s="1">
        <v>113.8</v>
      </c>
      <c r="N233" s="1">
        <v>137.5</v>
      </c>
      <c r="O233" s="1">
        <v>129.1</v>
      </c>
      <c r="P233" s="1">
        <v>143.6</v>
      </c>
      <c r="Q233" s="1">
        <v>134.69999999999999</v>
      </c>
      <c r="R233" s="1">
        <v>142.4</v>
      </c>
      <c r="S233" s="1">
        <v>140.4</v>
      </c>
      <c r="T233" s="1">
        <v>135.19999999999999</v>
      </c>
      <c r="U233" s="1">
        <v>139.69999999999999</v>
      </c>
      <c r="V233" s="14">
        <f>VLOOKUP($D233,Notes!$B$2:$C$229,2,0)</f>
        <v>128.5</v>
      </c>
      <c r="W233" s="1">
        <v>132</v>
      </c>
      <c r="X233" s="1">
        <v>132.9</v>
      </c>
      <c r="Y233" s="1">
        <v>129.69999999999999</v>
      </c>
      <c r="Z233" s="1">
        <v>118.6</v>
      </c>
      <c r="AA233" s="1">
        <v>127.3</v>
      </c>
      <c r="AB233" s="1">
        <v>134.19999999999999</v>
      </c>
      <c r="AC233" s="1">
        <v>121.9</v>
      </c>
      <c r="AD233" s="1">
        <v>126.3</v>
      </c>
      <c r="AE233" s="1">
        <v>132.80000000000001</v>
      </c>
    </row>
    <row r="234" spans="1:31" x14ac:dyDescent="0.25">
      <c r="A234" s="1" t="s">
        <v>33</v>
      </c>
      <c r="B234" s="1">
        <v>2017</v>
      </c>
      <c r="C234" s="1" t="s">
        <v>43</v>
      </c>
      <c r="D234" s="1" t="s">
        <v>140</v>
      </c>
      <c r="E234" s="1">
        <v>133.9</v>
      </c>
      <c r="F234" s="1">
        <v>142.80000000000001</v>
      </c>
      <c r="G234" s="1">
        <v>131.4</v>
      </c>
      <c r="H234" s="1">
        <v>139.1</v>
      </c>
      <c r="I234" s="1">
        <v>114.9</v>
      </c>
      <c r="J234" s="1">
        <v>135.6</v>
      </c>
      <c r="K234" s="1">
        <v>173.2</v>
      </c>
      <c r="L234" s="1">
        <v>124.1</v>
      </c>
      <c r="M234" s="1">
        <v>122.6</v>
      </c>
      <c r="N234" s="1">
        <v>137.80000000000001</v>
      </c>
      <c r="O234" s="1">
        <v>125.1</v>
      </c>
      <c r="P234" s="1">
        <v>145.5</v>
      </c>
      <c r="Q234" s="1">
        <v>139.69999999999999</v>
      </c>
      <c r="R234" s="1">
        <v>154.6</v>
      </c>
      <c r="S234" s="1">
        <v>134</v>
      </c>
      <c r="T234" s="1">
        <v>124.9</v>
      </c>
      <c r="U234" s="1">
        <v>132.6</v>
      </c>
      <c r="V234" s="1">
        <v>137.30000000000001</v>
      </c>
      <c r="W234" s="1">
        <v>122.6</v>
      </c>
      <c r="X234" s="1">
        <v>128.30000000000001</v>
      </c>
      <c r="Y234" s="1">
        <v>126.6</v>
      </c>
      <c r="Z234" s="1">
        <v>115</v>
      </c>
      <c r="AA234" s="1">
        <v>124.8</v>
      </c>
      <c r="AB234" s="1">
        <v>136.30000000000001</v>
      </c>
      <c r="AC234" s="1">
        <v>124.6</v>
      </c>
      <c r="AD234" s="1">
        <v>124.5</v>
      </c>
      <c r="AE234" s="1">
        <v>133.5</v>
      </c>
    </row>
    <row r="235" spans="1:31" x14ac:dyDescent="0.25">
      <c r="A235" s="1" t="s">
        <v>33</v>
      </c>
      <c r="B235" s="1">
        <v>2016</v>
      </c>
      <c r="C235" s="1" t="s">
        <v>39</v>
      </c>
      <c r="D235" s="1" t="s">
        <v>124</v>
      </c>
      <c r="E235" s="1">
        <v>125.9</v>
      </c>
      <c r="F235" s="1">
        <v>143.9</v>
      </c>
      <c r="G235" s="1">
        <v>130.9</v>
      </c>
      <c r="H235" s="1">
        <v>131</v>
      </c>
      <c r="I235" s="1">
        <v>110.2</v>
      </c>
      <c r="J235" s="1">
        <v>135.5</v>
      </c>
      <c r="K235" s="1">
        <v>173.7</v>
      </c>
      <c r="L235" s="1">
        <v>184.4</v>
      </c>
      <c r="M235" s="1">
        <v>112</v>
      </c>
      <c r="N235" s="1">
        <v>142.80000000000001</v>
      </c>
      <c r="O235" s="1">
        <v>121.6</v>
      </c>
      <c r="P235" s="1">
        <v>136.9</v>
      </c>
      <c r="Q235" s="1">
        <v>138.19999999999999</v>
      </c>
      <c r="R235" s="1">
        <v>142.69999999999999</v>
      </c>
      <c r="S235" s="1">
        <v>127.6</v>
      </c>
      <c r="T235" s="1">
        <v>121.1</v>
      </c>
      <c r="U235" s="1">
        <v>126.6</v>
      </c>
      <c r="V235" s="1">
        <v>125.5</v>
      </c>
      <c r="W235" s="1">
        <v>115.5</v>
      </c>
      <c r="X235" s="1">
        <v>123.2</v>
      </c>
      <c r="Y235" s="1">
        <v>120.6</v>
      </c>
      <c r="Z235" s="1">
        <v>112.3</v>
      </c>
      <c r="AA235" s="1">
        <v>119.9</v>
      </c>
      <c r="AB235" s="1">
        <v>129.30000000000001</v>
      </c>
      <c r="AC235" s="1">
        <v>118.8</v>
      </c>
      <c r="AD235" s="1">
        <v>119.6</v>
      </c>
      <c r="AE235" s="1">
        <v>128.1</v>
      </c>
    </row>
    <row r="236" spans="1:31" x14ac:dyDescent="0.25">
      <c r="A236" s="1" t="s">
        <v>33</v>
      </c>
      <c r="B236" s="1">
        <v>2018</v>
      </c>
      <c r="C236" s="1" t="s">
        <v>35</v>
      </c>
      <c r="D236" s="1" t="s">
        <v>144</v>
      </c>
      <c r="E236" s="1">
        <v>134.80000000000001</v>
      </c>
      <c r="F236" s="1">
        <v>143</v>
      </c>
      <c r="G236" s="1">
        <v>139.9</v>
      </c>
      <c r="H236" s="1">
        <v>139.9</v>
      </c>
      <c r="I236" s="1">
        <v>116.2</v>
      </c>
      <c r="J236" s="1">
        <v>135.5</v>
      </c>
      <c r="K236" s="1">
        <v>136.9</v>
      </c>
      <c r="L236" s="1">
        <v>117</v>
      </c>
      <c r="M236" s="1">
        <v>115.4</v>
      </c>
      <c r="N236" s="1">
        <v>140.69999999999999</v>
      </c>
      <c r="O236" s="1">
        <v>125.9</v>
      </c>
      <c r="P236" s="1">
        <v>147.1</v>
      </c>
      <c r="Q236" s="1">
        <v>135.6</v>
      </c>
      <c r="R236" s="1">
        <v>159.30000000000001</v>
      </c>
      <c r="S236" s="1">
        <v>136.30000000000001</v>
      </c>
      <c r="T236" s="1">
        <v>126.1</v>
      </c>
      <c r="U236" s="1">
        <v>134.69999999999999</v>
      </c>
      <c r="V236" s="1">
        <v>141.30000000000001</v>
      </c>
      <c r="W236" s="1">
        <v>127.3</v>
      </c>
      <c r="X236" s="1">
        <v>129.9</v>
      </c>
      <c r="Y236" s="1">
        <v>129.80000000000001</v>
      </c>
      <c r="Z236" s="1">
        <v>117.4</v>
      </c>
      <c r="AA236" s="1">
        <v>126.5</v>
      </c>
      <c r="AB236" s="1">
        <v>137.19999999999999</v>
      </c>
      <c r="AC236" s="1">
        <v>126.2</v>
      </c>
      <c r="AD236" s="1">
        <v>126.5</v>
      </c>
      <c r="AE236" s="1">
        <v>134</v>
      </c>
    </row>
    <row r="237" spans="1:31" x14ac:dyDescent="0.25">
      <c r="A237" s="1" t="s">
        <v>30</v>
      </c>
      <c r="B237" s="1">
        <v>2019</v>
      </c>
      <c r="C237" s="1" t="s">
        <v>31</v>
      </c>
      <c r="D237" s="1" t="s">
        <v>155</v>
      </c>
      <c r="E237" s="1">
        <v>136.6</v>
      </c>
      <c r="F237" s="1">
        <v>152.5</v>
      </c>
      <c r="G237" s="1">
        <v>138.19999999999999</v>
      </c>
      <c r="H237" s="1">
        <v>142.4</v>
      </c>
      <c r="I237" s="1">
        <v>123.9</v>
      </c>
      <c r="J237" s="1">
        <v>135.5</v>
      </c>
      <c r="K237" s="1">
        <v>131.69999999999999</v>
      </c>
      <c r="L237" s="1">
        <v>121.3</v>
      </c>
      <c r="M237" s="1">
        <v>108.4</v>
      </c>
      <c r="N237" s="1">
        <v>138.9</v>
      </c>
      <c r="O237" s="1">
        <v>137</v>
      </c>
      <c r="P237" s="1">
        <v>155.80000000000001</v>
      </c>
      <c r="Q237" s="1">
        <v>137.4</v>
      </c>
      <c r="R237" s="1">
        <v>162.69999999999999</v>
      </c>
      <c r="S237" s="1">
        <v>150.6</v>
      </c>
      <c r="T237" s="1">
        <v>145.1</v>
      </c>
      <c r="U237" s="1">
        <v>149.9</v>
      </c>
      <c r="V237" s="14">
        <f>VLOOKUP($D237,Notes!$B$2:$C$229,2,0)</f>
        <v>147.69999999999999</v>
      </c>
      <c r="W237" s="1">
        <v>146.19999999999999</v>
      </c>
      <c r="X237" s="1">
        <v>150.1</v>
      </c>
      <c r="Y237" s="1">
        <v>149.6</v>
      </c>
      <c r="Z237" s="1">
        <v>128.6</v>
      </c>
      <c r="AA237" s="1">
        <v>142.9</v>
      </c>
      <c r="AB237" s="1">
        <v>155.19999999999999</v>
      </c>
      <c r="AC237" s="1">
        <v>133.5</v>
      </c>
      <c r="AD237" s="1">
        <v>141.69999999999999</v>
      </c>
      <c r="AE237" s="1">
        <v>141</v>
      </c>
    </row>
    <row r="238" spans="1:31" x14ac:dyDescent="0.25">
      <c r="A238" s="1" t="s">
        <v>34</v>
      </c>
      <c r="B238" s="1">
        <v>2019</v>
      </c>
      <c r="C238" s="1" t="s">
        <v>31</v>
      </c>
      <c r="D238" s="1" t="s">
        <v>155</v>
      </c>
      <c r="E238" s="1">
        <v>137.1</v>
      </c>
      <c r="F238" s="1">
        <v>151.4</v>
      </c>
      <c r="G238" s="1">
        <v>140.19999999999999</v>
      </c>
      <c r="H238" s="1">
        <v>142.1</v>
      </c>
      <c r="I238" s="1">
        <v>121.8</v>
      </c>
      <c r="J238" s="1">
        <v>135.4</v>
      </c>
      <c r="K238" s="1">
        <v>131.30000000000001</v>
      </c>
      <c r="L238" s="1">
        <v>120.3</v>
      </c>
      <c r="M238" s="1">
        <v>109.1</v>
      </c>
      <c r="N238" s="1">
        <v>139.4</v>
      </c>
      <c r="O238" s="1">
        <v>133.30000000000001</v>
      </c>
      <c r="P238" s="1">
        <v>154.6</v>
      </c>
      <c r="Q238" s="1">
        <v>137.4</v>
      </c>
      <c r="R238" s="1">
        <v>163.19999999999999</v>
      </c>
      <c r="S238" s="1">
        <v>147.6</v>
      </c>
      <c r="T238" s="1">
        <v>139</v>
      </c>
      <c r="U238" s="1">
        <v>146.4</v>
      </c>
      <c r="V238" s="1">
        <v>147.69999999999999</v>
      </c>
      <c r="W238" s="1">
        <v>139.5</v>
      </c>
      <c r="X238" s="1">
        <v>143.6</v>
      </c>
      <c r="Y238" s="1">
        <v>145.1</v>
      </c>
      <c r="Z238" s="1">
        <v>123.3</v>
      </c>
      <c r="AA238" s="1">
        <v>136.69999999999999</v>
      </c>
      <c r="AB238" s="1">
        <v>150.19999999999999</v>
      </c>
      <c r="AC238" s="1">
        <v>132.80000000000001</v>
      </c>
      <c r="AD238" s="1">
        <v>136.9</v>
      </c>
      <c r="AE238" s="1">
        <v>139.6</v>
      </c>
    </row>
    <row r="239" spans="1:31" x14ac:dyDescent="0.25">
      <c r="A239" s="1" t="s">
        <v>34</v>
      </c>
      <c r="B239" s="1">
        <v>2017</v>
      </c>
      <c r="C239" s="1" t="s">
        <v>35</v>
      </c>
      <c r="D239" s="1" t="s">
        <v>132</v>
      </c>
      <c r="E239" s="1">
        <v>133.1</v>
      </c>
      <c r="F239" s="1">
        <v>138.80000000000001</v>
      </c>
      <c r="G239" s="1">
        <v>129.30000000000001</v>
      </c>
      <c r="H239" s="1">
        <v>135.80000000000001</v>
      </c>
      <c r="I239" s="1">
        <v>119.2</v>
      </c>
      <c r="J239" s="1">
        <v>135.30000000000001</v>
      </c>
      <c r="K239" s="1">
        <v>119.5</v>
      </c>
      <c r="L239" s="1">
        <v>152.19999999999999</v>
      </c>
      <c r="M239" s="1">
        <v>117.3</v>
      </c>
      <c r="N239" s="1">
        <v>138.69999999999999</v>
      </c>
      <c r="O239" s="1">
        <v>126.9</v>
      </c>
      <c r="P239" s="1">
        <v>143.19999999999999</v>
      </c>
      <c r="Q239" s="1">
        <v>133</v>
      </c>
      <c r="R239" s="1">
        <v>144.4</v>
      </c>
      <c r="S239" s="1">
        <v>136.80000000000001</v>
      </c>
      <c r="T239" s="1">
        <v>130.30000000000001</v>
      </c>
      <c r="U239" s="1">
        <v>135.9</v>
      </c>
      <c r="V239" s="1">
        <v>130.5</v>
      </c>
      <c r="W239" s="1">
        <v>127.9</v>
      </c>
      <c r="X239" s="1">
        <v>129.69999999999999</v>
      </c>
      <c r="Y239" s="1">
        <v>127.4</v>
      </c>
      <c r="Z239" s="1">
        <v>117.4</v>
      </c>
      <c r="AA239" s="1">
        <v>124.6</v>
      </c>
      <c r="AB239" s="1">
        <v>133.4</v>
      </c>
      <c r="AC239" s="1">
        <v>122.6</v>
      </c>
      <c r="AD239" s="1">
        <v>124.8</v>
      </c>
      <c r="AE239" s="1">
        <v>130.6</v>
      </c>
    </row>
    <row r="240" spans="1:31" x14ac:dyDescent="0.25">
      <c r="A240" s="1" t="s">
        <v>33</v>
      </c>
      <c r="B240" s="1">
        <v>2017</v>
      </c>
      <c r="C240" s="1" t="s">
        <v>38</v>
      </c>
      <c r="D240" s="1" t="s">
        <v>135</v>
      </c>
      <c r="E240" s="1">
        <v>132.6</v>
      </c>
      <c r="F240" s="1">
        <v>144.1</v>
      </c>
      <c r="G240" s="1">
        <v>125.6</v>
      </c>
      <c r="H240" s="1">
        <v>136.80000000000001</v>
      </c>
      <c r="I240" s="1">
        <v>113.4</v>
      </c>
      <c r="J240" s="1">
        <v>135.19999999999999</v>
      </c>
      <c r="K240" s="1">
        <v>129.19999999999999</v>
      </c>
      <c r="L240" s="1">
        <v>131.5</v>
      </c>
      <c r="M240" s="1">
        <v>121</v>
      </c>
      <c r="N240" s="1">
        <v>139.9</v>
      </c>
      <c r="O240" s="1">
        <v>123.8</v>
      </c>
      <c r="P240" s="1">
        <v>142.9</v>
      </c>
      <c r="Q240" s="1">
        <v>133.6</v>
      </c>
      <c r="R240" s="1">
        <v>148.30000000000001</v>
      </c>
      <c r="S240" s="1">
        <v>131.5</v>
      </c>
      <c r="T240" s="1">
        <v>123.2</v>
      </c>
      <c r="U240" s="1">
        <v>130.19999999999999</v>
      </c>
      <c r="V240" s="1">
        <v>132.1</v>
      </c>
      <c r="W240" s="1">
        <v>120.1</v>
      </c>
      <c r="X240" s="1">
        <v>126.5</v>
      </c>
      <c r="Y240" s="1">
        <v>123.6</v>
      </c>
      <c r="Z240" s="1">
        <v>114.3</v>
      </c>
      <c r="AA240" s="1">
        <v>122.8</v>
      </c>
      <c r="AB240" s="1">
        <v>133.80000000000001</v>
      </c>
      <c r="AC240" s="1">
        <v>122</v>
      </c>
      <c r="AD240" s="1">
        <v>122.6</v>
      </c>
      <c r="AE240" s="1">
        <v>129.30000000000001</v>
      </c>
    </row>
    <row r="241" spans="1:31" x14ac:dyDescent="0.25">
      <c r="A241" s="1" t="s">
        <v>33</v>
      </c>
      <c r="B241" s="1">
        <v>2019</v>
      </c>
      <c r="C241" s="1" t="s">
        <v>31</v>
      </c>
      <c r="D241" s="1" t="s">
        <v>155</v>
      </c>
      <c r="E241" s="1">
        <v>138.30000000000001</v>
      </c>
      <c r="F241" s="1">
        <v>149.4</v>
      </c>
      <c r="G241" s="1">
        <v>143.5</v>
      </c>
      <c r="H241" s="1">
        <v>141.69999999999999</v>
      </c>
      <c r="I241" s="1">
        <v>118.1</v>
      </c>
      <c r="J241" s="1">
        <v>135.19999999999999</v>
      </c>
      <c r="K241" s="1">
        <v>130.5</v>
      </c>
      <c r="L241" s="1">
        <v>118.2</v>
      </c>
      <c r="M241" s="1">
        <v>110.4</v>
      </c>
      <c r="N241" s="1">
        <v>140.4</v>
      </c>
      <c r="O241" s="1">
        <v>128.1</v>
      </c>
      <c r="P241" s="1">
        <v>153.19999999999999</v>
      </c>
      <c r="Q241" s="1">
        <v>137.30000000000001</v>
      </c>
      <c r="R241" s="1">
        <v>164.7</v>
      </c>
      <c r="S241" s="1">
        <v>143</v>
      </c>
      <c r="T241" s="1">
        <v>130.4</v>
      </c>
      <c r="U241" s="1">
        <v>141.1</v>
      </c>
      <c r="V241" s="1">
        <v>147.69999999999999</v>
      </c>
      <c r="W241" s="1">
        <v>128.6</v>
      </c>
      <c r="X241" s="1">
        <v>136.30000000000001</v>
      </c>
      <c r="Y241" s="1">
        <v>137.80000000000001</v>
      </c>
      <c r="Z241" s="1">
        <v>118.6</v>
      </c>
      <c r="AA241" s="1">
        <v>131.9</v>
      </c>
      <c r="AB241" s="1">
        <v>146.6</v>
      </c>
      <c r="AC241" s="1">
        <v>131.69999999999999</v>
      </c>
      <c r="AD241" s="1">
        <v>131.80000000000001</v>
      </c>
      <c r="AE241" s="1">
        <v>138</v>
      </c>
    </row>
    <row r="242" spans="1:31" x14ac:dyDescent="0.25">
      <c r="A242" s="1" t="s">
        <v>33</v>
      </c>
      <c r="B242" s="1">
        <v>2017</v>
      </c>
      <c r="C242" s="1" t="s">
        <v>45</v>
      </c>
      <c r="D242" s="1" t="s">
        <v>142</v>
      </c>
      <c r="E242" s="1">
        <v>134.4</v>
      </c>
      <c r="F242" s="1">
        <v>142.6</v>
      </c>
      <c r="G242" s="1">
        <v>145.9</v>
      </c>
      <c r="H242" s="1">
        <v>139.5</v>
      </c>
      <c r="I242" s="1">
        <v>115.9</v>
      </c>
      <c r="J242" s="1">
        <v>135</v>
      </c>
      <c r="K242" s="1">
        <v>163.19999999999999</v>
      </c>
      <c r="L242" s="1">
        <v>119.8</v>
      </c>
      <c r="M242" s="1">
        <v>120.7</v>
      </c>
      <c r="N242" s="1">
        <v>139.69999999999999</v>
      </c>
      <c r="O242" s="1">
        <v>125.7</v>
      </c>
      <c r="P242" s="1">
        <v>146.30000000000001</v>
      </c>
      <c r="Q242" s="1">
        <v>138.80000000000001</v>
      </c>
      <c r="R242" s="1">
        <v>157</v>
      </c>
      <c r="S242" s="1">
        <v>135.6</v>
      </c>
      <c r="T242" s="1">
        <v>125.6</v>
      </c>
      <c r="U242" s="1">
        <v>134</v>
      </c>
      <c r="V242" s="1">
        <v>139.1</v>
      </c>
      <c r="W242" s="1">
        <v>126.8</v>
      </c>
      <c r="X242" s="1">
        <v>129.30000000000001</v>
      </c>
      <c r="Y242" s="1">
        <v>128.19999999999999</v>
      </c>
      <c r="Z242" s="1">
        <v>115.3</v>
      </c>
      <c r="AA242" s="1">
        <v>125.6</v>
      </c>
      <c r="AB242" s="1">
        <v>136.69999999999999</v>
      </c>
      <c r="AC242" s="1">
        <v>124.6</v>
      </c>
      <c r="AD242" s="1">
        <v>125.1</v>
      </c>
      <c r="AE242" s="1">
        <v>134.1</v>
      </c>
    </row>
    <row r="243" spans="1:31" x14ac:dyDescent="0.25">
      <c r="A243" s="1" t="s">
        <v>34</v>
      </c>
      <c r="B243" s="1">
        <v>2016</v>
      </c>
      <c r="C243" s="1" t="s">
        <v>37</v>
      </c>
      <c r="D243" s="1" t="s">
        <v>122</v>
      </c>
      <c r="E243" s="1">
        <v>126.6</v>
      </c>
      <c r="F243" s="1">
        <v>136.80000000000001</v>
      </c>
      <c r="G243" s="1">
        <v>122</v>
      </c>
      <c r="H243" s="1">
        <v>130.9</v>
      </c>
      <c r="I243" s="1">
        <v>114.8</v>
      </c>
      <c r="J243" s="1">
        <v>134.80000000000001</v>
      </c>
      <c r="K243" s="1">
        <v>135</v>
      </c>
      <c r="L243" s="1">
        <v>167.5</v>
      </c>
      <c r="M243" s="1">
        <v>106.4</v>
      </c>
      <c r="N243" s="1">
        <v>134.4</v>
      </c>
      <c r="O243" s="1">
        <v>123.6</v>
      </c>
      <c r="P243" s="1">
        <v>136.69999999999999</v>
      </c>
      <c r="Q243" s="1">
        <v>131.80000000000001</v>
      </c>
      <c r="R243" s="1">
        <v>137.1</v>
      </c>
      <c r="S243" s="1">
        <v>131.80000000000001</v>
      </c>
      <c r="T243" s="1">
        <v>126.4</v>
      </c>
      <c r="U243" s="1">
        <v>131</v>
      </c>
      <c r="V243" s="1">
        <v>125.6</v>
      </c>
      <c r="W243" s="1">
        <v>122.3</v>
      </c>
      <c r="X243" s="1">
        <v>125.5</v>
      </c>
      <c r="Y243" s="1">
        <v>123.2</v>
      </c>
      <c r="Z243" s="1">
        <v>112.1</v>
      </c>
      <c r="AA243" s="1">
        <v>121.1</v>
      </c>
      <c r="AB243" s="1">
        <v>127.7</v>
      </c>
      <c r="AC243" s="1">
        <v>118.1</v>
      </c>
      <c r="AD243" s="1">
        <v>120</v>
      </c>
      <c r="AE243" s="1">
        <v>127.3</v>
      </c>
    </row>
    <row r="244" spans="1:31" x14ac:dyDescent="0.25">
      <c r="A244" s="1" t="s">
        <v>34</v>
      </c>
      <c r="B244" s="1">
        <v>2016</v>
      </c>
      <c r="C244" s="1" t="s">
        <v>43</v>
      </c>
      <c r="D244" s="1" t="s">
        <v>128</v>
      </c>
      <c r="E244" s="1">
        <v>130.5</v>
      </c>
      <c r="F244" s="1">
        <v>137.9</v>
      </c>
      <c r="G244" s="1">
        <v>130.19999999999999</v>
      </c>
      <c r="H244" s="1">
        <v>134.80000000000001</v>
      </c>
      <c r="I244" s="1">
        <v>117.8</v>
      </c>
      <c r="J244" s="1">
        <v>134.69999999999999</v>
      </c>
      <c r="K244" s="1">
        <v>151.19999999999999</v>
      </c>
      <c r="L244" s="1">
        <v>172.1</v>
      </c>
      <c r="M244" s="1">
        <v>114.1</v>
      </c>
      <c r="N244" s="1">
        <v>139.30000000000001</v>
      </c>
      <c r="O244" s="1">
        <v>126.1</v>
      </c>
      <c r="P244" s="1">
        <v>141.1</v>
      </c>
      <c r="Q244" s="1">
        <v>137</v>
      </c>
      <c r="R244" s="1">
        <v>141.80000000000001</v>
      </c>
      <c r="S244" s="1">
        <v>135.5</v>
      </c>
      <c r="T244" s="1">
        <v>129.1</v>
      </c>
      <c r="U244" s="1">
        <v>134.5</v>
      </c>
      <c r="V244" s="1">
        <v>128.69999999999999</v>
      </c>
      <c r="W244" s="1">
        <v>124.3</v>
      </c>
      <c r="X244" s="1">
        <v>128.4</v>
      </c>
      <c r="Y244" s="1">
        <v>126.1</v>
      </c>
      <c r="Z244" s="1">
        <v>115.2</v>
      </c>
      <c r="AA244" s="1">
        <v>123.5</v>
      </c>
      <c r="AB244" s="1">
        <v>132.4</v>
      </c>
      <c r="AC244" s="1">
        <v>122.1</v>
      </c>
      <c r="AD244" s="1">
        <v>123.4</v>
      </c>
      <c r="AE244" s="1">
        <v>131.4</v>
      </c>
    </row>
    <row r="245" spans="1:31" x14ac:dyDescent="0.25">
      <c r="A245" s="1" t="s">
        <v>30</v>
      </c>
      <c r="B245" s="1">
        <v>2015</v>
      </c>
      <c r="C245" s="1" t="s">
        <v>37</v>
      </c>
      <c r="D245" s="1" t="s">
        <v>110</v>
      </c>
      <c r="E245" s="1">
        <v>123.3</v>
      </c>
      <c r="F245" s="1">
        <v>125.5</v>
      </c>
      <c r="G245" s="1">
        <v>117.2</v>
      </c>
      <c r="H245" s="1">
        <v>126.8</v>
      </c>
      <c r="I245" s="1">
        <v>111.9</v>
      </c>
      <c r="J245" s="1">
        <v>134.19999999999999</v>
      </c>
      <c r="K245" s="1">
        <v>127.5</v>
      </c>
      <c r="L245" s="1">
        <v>121.5</v>
      </c>
      <c r="M245" s="1">
        <v>97.8</v>
      </c>
      <c r="N245" s="1">
        <v>119.8</v>
      </c>
      <c r="O245" s="1">
        <v>119.4</v>
      </c>
      <c r="P245" s="1">
        <v>128.69999999999999</v>
      </c>
      <c r="Q245" s="1">
        <v>123.6</v>
      </c>
      <c r="R245" s="1">
        <v>125.7</v>
      </c>
      <c r="S245" s="1">
        <v>126.4</v>
      </c>
      <c r="T245" s="1">
        <v>123.3</v>
      </c>
      <c r="U245" s="1">
        <v>126</v>
      </c>
      <c r="V245" s="14">
        <f>VLOOKUP($D245,Notes!$B$2:$C$229,2,0)</f>
        <v>119.2</v>
      </c>
      <c r="W245" s="1">
        <v>121.2</v>
      </c>
      <c r="X245" s="1">
        <v>120.9</v>
      </c>
      <c r="Y245" s="1">
        <v>118.6</v>
      </c>
      <c r="Z245" s="1">
        <v>111.9</v>
      </c>
      <c r="AA245" s="1">
        <v>116.2</v>
      </c>
      <c r="AB245" s="1">
        <v>119.9</v>
      </c>
      <c r="AC245" s="1">
        <v>111.6</v>
      </c>
      <c r="AD245" s="1">
        <v>116</v>
      </c>
      <c r="AE245" s="1">
        <v>121.5</v>
      </c>
    </row>
    <row r="246" spans="1:31" x14ac:dyDescent="0.25">
      <c r="A246" s="1" t="s">
        <v>30</v>
      </c>
      <c r="B246" s="1">
        <v>2015</v>
      </c>
      <c r="C246" s="1" t="s">
        <v>41</v>
      </c>
      <c r="D246" s="1" t="s">
        <v>114</v>
      </c>
      <c r="E246" s="1">
        <v>124.7</v>
      </c>
      <c r="F246" s="1">
        <v>131.30000000000001</v>
      </c>
      <c r="G246" s="1">
        <v>121.3</v>
      </c>
      <c r="H246" s="1">
        <v>128.80000000000001</v>
      </c>
      <c r="I246" s="1">
        <v>114</v>
      </c>
      <c r="J246" s="1">
        <v>134.19999999999999</v>
      </c>
      <c r="K246" s="1">
        <v>153.6</v>
      </c>
      <c r="L246" s="1">
        <v>137.9</v>
      </c>
      <c r="M246" s="1">
        <v>93.1</v>
      </c>
      <c r="N246" s="1">
        <v>123.9</v>
      </c>
      <c r="O246" s="1">
        <v>121.5</v>
      </c>
      <c r="P246" s="1">
        <v>132.5</v>
      </c>
      <c r="Q246" s="1">
        <v>129.80000000000001</v>
      </c>
      <c r="R246" s="1">
        <v>130.1</v>
      </c>
      <c r="S246" s="1">
        <v>129.5</v>
      </c>
      <c r="T246" s="1">
        <v>126.3</v>
      </c>
      <c r="U246" s="1">
        <v>129</v>
      </c>
      <c r="V246" s="14">
        <f>VLOOKUP($D246,Notes!$B$2:$C$229,2,0)</f>
        <v>120.9</v>
      </c>
      <c r="W246" s="1">
        <v>123.8</v>
      </c>
      <c r="X246" s="1">
        <v>123.7</v>
      </c>
      <c r="Y246" s="1">
        <v>121.1</v>
      </c>
      <c r="Z246" s="1">
        <v>113.6</v>
      </c>
      <c r="AA246" s="1">
        <v>118.5</v>
      </c>
      <c r="AB246" s="1">
        <v>123.6</v>
      </c>
      <c r="AC246" s="1">
        <v>112.5</v>
      </c>
      <c r="AD246" s="1">
        <v>118.2</v>
      </c>
      <c r="AE246" s="1">
        <v>126.1</v>
      </c>
    </row>
    <row r="247" spans="1:31" x14ac:dyDescent="0.25">
      <c r="A247" s="1" t="s">
        <v>30</v>
      </c>
      <c r="B247" s="1">
        <v>2015</v>
      </c>
      <c r="C247" s="1" t="s">
        <v>38</v>
      </c>
      <c r="D247" s="1" t="s">
        <v>111</v>
      </c>
      <c r="E247" s="1">
        <v>123.5</v>
      </c>
      <c r="F247" s="1">
        <v>127.1</v>
      </c>
      <c r="G247" s="1">
        <v>117.3</v>
      </c>
      <c r="H247" s="1">
        <v>127.7</v>
      </c>
      <c r="I247" s="1">
        <v>112.5</v>
      </c>
      <c r="J247" s="1">
        <v>134.1</v>
      </c>
      <c r="K247" s="1">
        <v>128.5</v>
      </c>
      <c r="L247" s="1">
        <v>124.3</v>
      </c>
      <c r="M247" s="1">
        <v>97.6</v>
      </c>
      <c r="N247" s="1">
        <v>120.7</v>
      </c>
      <c r="O247" s="1">
        <v>120.2</v>
      </c>
      <c r="P247" s="1">
        <v>129.80000000000001</v>
      </c>
      <c r="Q247" s="1">
        <v>124.4</v>
      </c>
      <c r="R247" s="1">
        <v>126.7</v>
      </c>
      <c r="S247" s="1">
        <v>127.3</v>
      </c>
      <c r="T247" s="1">
        <v>124.1</v>
      </c>
      <c r="U247" s="1">
        <v>126.8</v>
      </c>
      <c r="V247" s="14">
        <f>VLOOKUP($D247,Notes!$B$2:$C$229,2,0)</f>
        <v>119.6</v>
      </c>
      <c r="W247" s="1">
        <v>121.9</v>
      </c>
      <c r="X247" s="1">
        <v>121.5</v>
      </c>
      <c r="Y247" s="1">
        <v>119.4</v>
      </c>
      <c r="Z247" s="1">
        <v>113.3</v>
      </c>
      <c r="AA247" s="1">
        <v>116.7</v>
      </c>
      <c r="AB247" s="1">
        <v>120.5</v>
      </c>
      <c r="AC247" s="1">
        <v>112.3</v>
      </c>
      <c r="AD247" s="1">
        <v>116.9</v>
      </c>
      <c r="AE247" s="1">
        <v>122.4</v>
      </c>
    </row>
    <row r="248" spans="1:31" x14ac:dyDescent="0.25">
      <c r="A248" s="1" t="s">
        <v>34</v>
      </c>
      <c r="B248" s="1">
        <v>2016</v>
      </c>
      <c r="C248" s="1" t="s">
        <v>44</v>
      </c>
      <c r="D248" s="1" t="s">
        <v>129</v>
      </c>
      <c r="E248" s="1">
        <v>131.4</v>
      </c>
      <c r="F248" s="1">
        <v>137.80000000000001</v>
      </c>
      <c r="G248" s="1">
        <v>132</v>
      </c>
      <c r="H248" s="1">
        <v>135</v>
      </c>
      <c r="I248" s="1">
        <v>118</v>
      </c>
      <c r="J248" s="1">
        <v>134.1</v>
      </c>
      <c r="K248" s="1">
        <v>141.9</v>
      </c>
      <c r="L248" s="1">
        <v>171.7</v>
      </c>
      <c r="M248" s="1">
        <v>114.1</v>
      </c>
      <c r="N248" s="1">
        <v>139.69999999999999</v>
      </c>
      <c r="O248" s="1">
        <v>126.2</v>
      </c>
      <c r="P248" s="1">
        <v>141.80000000000001</v>
      </c>
      <c r="Q248" s="1">
        <v>136.1</v>
      </c>
      <c r="R248" s="1">
        <v>142</v>
      </c>
      <c r="S248" s="1">
        <v>135.80000000000001</v>
      </c>
      <c r="T248" s="1">
        <v>129.30000000000001</v>
      </c>
      <c r="U248" s="1">
        <v>135</v>
      </c>
      <c r="V248" s="1">
        <v>129.1</v>
      </c>
      <c r="W248" s="1">
        <v>125</v>
      </c>
      <c r="X248" s="1">
        <v>128.6</v>
      </c>
      <c r="Y248" s="1">
        <v>126.4</v>
      </c>
      <c r="Z248" s="1">
        <v>115.7</v>
      </c>
      <c r="AA248" s="1">
        <v>124</v>
      </c>
      <c r="AB248" s="1">
        <v>132.80000000000001</v>
      </c>
      <c r="AC248" s="1">
        <v>122.6</v>
      </c>
      <c r="AD248" s="1">
        <v>123.8</v>
      </c>
      <c r="AE248" s="1">
        <v>131.19999999999999</v>
      </c>
    </row>
    <row r="249" spans="1:31" x14ac:dyDescent="0.25">
      <c r="A249" s="1" t="s">
        <v>33</v>
      </c>
      <c r="B249" s="1">
        <v>2018</v>
      </c>
      <c r="C249" s="1" t="s">
        <v>31</v>
      </c>
      <c r="D249" s="1" t="s">
        <v>143</v>
      </c>
      <c r="E249" s="1">
        <v>134.6</v>
      </c>
      <c r="F249" s="1">
        <v>143.69999999999999</v>
      </c>
      <c r="G249" s="1">
        <v>143.6</v>
      </c>
      <c r="H249" s="1">
        <v>139.6</v>
      </c>
      <c r="I249" s="1">
        <v>116.4</v>
      </c>
      <c r="J249" s="1">
        <v>133.80000000000001</v>
      </c>
      <c r="K249" s="1">
        <v>150.5</v>
      </c>
      <c r="L249" s="1">
        <v>118.4</v>
      </c>
      <c r="M249" s="1">
        <v>117.3</v>
      </c>
      <c r="N249" s="1">
        <v>140.5</v>
      </c>
      <c r="O249" s="1">
        <v>125.9</v>
      </c>
      <c r="P249" s="1">
        <v>146.80000000000001</v>
      </c>
      <c r="Q249" s="1">
        <v>137.19999999999999</v>
      </c>
      <c r="R249" s="1">
        <v>157.69999999999999</v>
      </c>
      <c r="S249" s="1">
        <v>136</v>
      </c>
      <c r="T249" s="1">
        <v>125.9</v>
      </c>
      <c r="U249" s="1">
        <v>134.4</v>
      </c>
      <c r="V249" s="1">
        <v>140.4</v>
      </c>
      <c r="W249" s="1">
        <v>127.3</v>
      </c>
      <c r="X249" s="1">
        <v>129.5</v>
      </c>
      <c r="Y249" s="1">
        <v>129</v>
      </c>
      <c r="Z249" s="1">
        <v>116.3</v>
      </c>
      <c r="AA249" s="1">
        <v>126.2</v>
      </c>
      <c r="AB249" s="1">
        <v>137.1</v>
      </c>
      <c r="AC249" s="1">
        <v>125.5</v>
      </c>
      <c r="AD249" s="1">
        <v>125.8</v>
      </c>
      <c r="AE249" s="1">
        <v>134.1</v>
      </c>
    </row>
    <row r="250" spans="1:31" x14ac:dyDescent="0.25">
      <c r="A250" s="1" t="s">
        <v>33</v>
      </c>
      <c r="B250" s="1">
        <v>2014</v>
      </c>
      <c r="C250" s="1" t="s">
        <v>40</v>
      </c>
      <c r="D250" s="1" t="s">
        <v>101</v>
      </c>
      <c r="E250" s="1">
        <v>123.8</v>
      </c>
      <c r="F250" s="1">
        <v>126.4</v>
      </c>
      <c r="G250" s="1">
        <v>118</v>
      </c>
      <c r="H250" s="1">
        <v>121.6</v>
      </c>
      <c r="I250" s="1">
        <v>103.5</v>
      </c>
      <c r="J250" s="1">
        <v>133.69999999999999</v>
      </c>
      <c r="K250" s="1">
        <v>172.4</v>
      </c>
      <c r="L250" s="1">
        <v>113.1</v>
      </c>
      <c r="M250" s="1">
        <v>102.7</v>
      </c>
      <c r="N250" s="1">
        <v>120</v>
      </c>
      <c r="O250" s="1">
        <v>113.8</v>
      </c>
      <c r="P250" s="1">
        <v>123.4</v>
      </c>
      <c r="Q250" s="1">
        <v>127.1</v>
      </c>
      <c r="R250" s="1">
        <v>121</v>
      </c>
      <c r="S250" s="1">
        <v>118</v>
      </c>
      <c r="T250" s="1">
        <v>113.6</v>
      </c>
      <c r="U250" s="1">
        <v>117.4</v>
      </c>
      <c r="V250" s="1">
        <v>114.8</v>
      </c>
      <c r="W250" s="1">
        <v>111.6</v>
      </c>
      <c r="X250" s="1">
        <v>114.9</v>
      </c>
      <c r="Y250" s="1">
        <v>111.5</v>
      </c>
      <c r="Z250" s="1">
        <v>113</v>
      </c>
      <c r="AA250" s="1">
        <v>112.4</v>
      </c>
      <c r="AB250" s="1">
        <v>117.8</v>
      </c>
      <c r="AC250" s="1">
        <v>109.7</v>
      </c>
      <c r="AD250" s="1">
        <v>113.5</v>
      </c>
      <c r="AE250" s="1">
        <v>118.9</v>
      </c>
    </row>
    <row r="251" spans="1:31" x14ac:dyDescent="0.25">
      <c r="A251" s="1" t="s">
        <v>33</v>
      </c>
      <c r="B251" s="1">
        <v>2016</v>
      </c>
      <c r="C251" s="1" t="s">
        <v>38</v>
      </c>
      <c r="D251" s="1" t="s">
        <v>123</v>
      </c>
      <c r="E251" s="1">
        <v>125</v>
      </c>
      <c r="F251" s="1">
        <v>142.1</v>
      </c>
      <c r="G251" s="1">
        <v>127</v>
      </c>
      <c r="H251" s="1">
        <v>130.4</v>
      </c>
      <c r="I251" s="1">
        <v>109.6</v>
      </c>
      <c r="J251" s="1">
        <v>133.5</v>
      </c>
      <c r="K251" s="1">
        <v>151.4</v>
      </c>
      <c r="L251" s="1">
        <v>182.8</v>
      </c>
      <c r="M251" s="1">
        <v>111.1</v>
      </c>
      <c r="N251" s="1">
        <v>141.5</v>
      </c>
      <c r="O251" s="1">
        <v>121.5</v>
      </c>
      <c r="P251" s="1">
        <v>136.30000000000001</v>
      </c>
      <c r="Q251" s="1">
        <v>134.6</v>
      </c>
      <c r="R251" s="1">
        <v>142.19999999999999</v>
      </c>
      <c r="S251" s="1">
        <v>127.2</v>
      </c>
      <c r="T251" s="1">
        <v>120.7</v>
      </c>
      <c r="U251" s="1">
        <v>126.2</v>
      </c>
      <c r="V251" s="1">
        <v>126</v>
      </c>
      <c r="W251" s="1">
        <v>115</v>
      </c>
      <c r="X251" s="1">
        <v>123.2</v>
      </c>
      <c r="Y251" s="1">
        <v>120.3</v>
      </c>
      <c r="Z251" s="1">
        <v>110.7</v>
      </c>
      <c r="AA251" s="1">
        <v>119.8</v>
      </c>
      <c r="AB251" s="1">
        <v>128</v>
      </c>
      <c r="AC251" s="1">
        <v>118.5</v>
      </c>
      <c r="AD251" s="1">
        <v>118.7</v>
      </c>
      <c r="AE251" s="1">
        <v>126.6</v>
      </c>
    </row>
    <row r="252" spans="1:31" x14ac:dyDescent="0.25">
      <c r="A252" s="1" t="s">
        <v>30</v>
      </c>
      <c r="B252" s="1">
        <v>2015</v>
      </c>
      <c r="C252" s="1" t="s">
        <v>40</v>
      </c>
      <c r="D252" s="1" t="s">
        <v>113</v>
      </c>
      <c r="E252" s="1">
        <v>124</v>
      </c>
      <c r="F252" s="1">
        <v>131.5</v>
      </c>
      <c r="G252" s="1">
        <v>122</v>
      </c>
      <c r="H252" s="1">
        <v>128.69999999999999</v>
      </c>
      <c r="I252" s="1">
        <v>113.5</v>
      </c>
      <c r="J252" s="1">
        <v>133.30000000000001</v>
      </c>
      <c r="K252" s="1">
        <v>140.80000000000001</v>
      </c>
      <c r="L252" s="1">
        <v>133.80000000000001</v>
      </c>
      <c r="M252" s="1">
        <v>94.1</v>
      </c>
      <c r="N252" s="1">
        <v>123.4</v>
      </c>
      <c r="O252" s="1">
        <v>121</v>
      </c>
      <c r="P252" s="1">
        <v>131.69999999999999</v>
      </c>
      <c r="Q252" s="1">
        <v>127.5</v>
      </c>
      <c r="R252" s="1">
        <v>129.4</v>
      </c>
      <c r="S252" s="1">
        <v>128.80000000000001</v>
      </c>
      <c r="T252" s="1">
        <v>125.5</v>
      </c>
      <c r="U252" s="1">
        <v>128.30000000000001</v>
      </c>
      <c r="V252" s="14">
        <f>VLOOKUP($D252,Notes!$B$2:$C$229,2,0)</f>
        <v>119.9</v>
      </c>
      <c r="W252" s="1">
        <v>123</v>
      </c>
      <c r="X252" s="1">
        <v>123</v>
      </c>
      <c r="Y252" s="1">
        <v>120.8</v>
      </c>
      <c r="Z252" s="1">
        <v>114.1</v>
      </c>
      <c r="AA252" s="1">
        <v>118</v>
      </c>
      <c r="AB252" s="1">
        <v>122.9</v>
      </c>
      <c r="AC252" s="1">
        <v>112.7</v>
      </c>
      <c r="AD252" s="1">
        <v>118.1</v>
      </c>
      <c r="AE252" s="1">
        <v>124.7</v>
      </c>
    </row>
    <row r="253" spans="1:31" x14ac:dyDescent="0.25">
      <c r="A253" s="1" t="s">
        <v>30</v>
      </c>
      <c r="B253" s="1">
        <v>2015</v>
      </c>
      <c r="C253" s="1" t="s">
        <v>39</v>
      </c>
      <c r="D253" s="1" t="s">
        <v>112</v>
      </c>
      <c r="E253" s="1">
        <v>124.1</v>
      </c>
      <c r="F253" s="1">
        <v>130.4</v>
      </c>
      <c r="G253" s="1">
        <v>122.1</v>
      </c>
      <c r="H253" s="1">
        <v>128.69999999999999</v>
      </c>
      <c r="I253" s="1">
        <v>114.1</v>
      </c>
      <c r="J253" s="1">
        <v>133.19999999999999</v>
      </c>
      <c r="K253" s="1">
        <v>135.19999999999999</v>
      </c>
      <c r="L253" s="1">
        <v>131.9</v>
      </c>
      <c r="M253" s="1">
        <v>96.3</v>
      </c>
      <c r="N253" s="1">
        <v>123</v>
      </c>
      <c r="O253" s="1">
        <v>121.1</v>
      </c>
      <c r="P253" s="1">
        <v>131.19999999999999</v>
      </c>
      <c r="Q253" s="1">
        <v>126.6</v>
      </c>
      <c r="R253" s="1">
        <v>128.19999999999999</v>
      </c>
      <c r="S253" s="1">
        <v>128.4</v>
      </c>
      <c r="T253" s="1">
        <v>125.1</v>
      </c>
      <c r="U253" s="1">
        <v>128</v>
      </c>
      <c r="V253" s="14">
        <f>VLOOKUP($D253,Notes!$B$2:$C$229,2,0)</f>
        <v>119</v>
      </c>
      <c r="W253" s="1">
        <v>122.6</v>
      </c>
      <c r="X253" s="1">
        <v>122.8</v>
      </c>
      <c r="Y253" s="1">
        <v>120.4</v>
      </c>
      <c r="Z253" s="1">
        <v>114.2</v>
      </c>
      <c r="AA253" s="1">
        <v>117.9</v>
      </c>
      <c r="AB253" s="1">
        <v>122</v>
      </c>
      <c r="AC253" s="1">
        <v>113</v>
      </c>
      <c r="AD253" s="1">
        <v>117.9</v>
      </c>
      <c r="AE253" s="1">
        <v>124.1</v>
      </c>
    </row>
    <row r="254" spans="1:31" x14ac:dyDescent="0.25">
      <c r="A254" s="1" t="s">
        <v>30</v>
      </c>
      <c r="B254" s="1">
        <v>2015</v>
      </c>
      <c r="C254" s="1" t="s">
        <v>43</v>
      </c>
      <c r="D254" s="1" t="s">
        <v>116</v>
      </c>
      <c r="E254" s="1">
        <v>125.6</v>
      </c>
      <c r="F254" s="1">
        <v>130.4</v>
      </c>
      <c r="G254" s="1">
        <v>120.8</v>
      </c>
      <c r="H254" s="1">
        <v>129.4</v>
      </c>
      <c r="I254" s="1">
        <v>115.8</v>
      </c>
      <c r="J254" s="1">
        <v>133.19999999999999</v>
      </c>
      <c r="K254" s="1">
        <v>157.69999999999999</v>
      </c>
      <c r="L254" s="1">
        <v>154.19999999999999</v>
      </c>
      <c r="M254" s="1">
        <v>93.7</v>
      </c>
      <c r="N254" s="1">
        <v>126.6</v>
      </c>
      <c r="O254" s="1">
        <v>122.3</v>
      </c>
      <c r="P254" s="1">
        <v>133.1</v>
      </c>
      <c r="Q254" s="1">
        <v>131.80000000000001</v>
      </c>
      <c r="R254" s="1">
        <v>131.5</v>
      </c>
      <c r="S254" s="1">
        <v>131.1</v>
      </c>
      <c r="T254" s="1">
        <v>127.3</v>
      </c>
      <c r="U254" s="1">
        <v>130.6</v>
      </c>
      <c r="V254" s="14">
        <f>VLOOKUP($D254,Notes!$B$2:$C$229,2,0)</f>
        <v>122.4</v>
      </c>
      <c r="W254" s="1">
        <v>124.4</v>
      </c>
      <c r="X254" s="1">
        <v>125.1</v>
      </c>
      <c r="Y254" s="1">
        <v>122</v>
      </c>
      <c r="Z254" s="1">
        <v>113.8</v>
      </c>
      <c r="AA254" s="1">
        <v>120.1</v>
      </c>
      <c r="AB254" s="1">
        <v>125.1</v>
      </c>
      <c r="AC254" s="1">
        <v>114.2</v>
      </c>
      <c r="AD254" s="1">
        <v>119.2</v>
      </c>
      <c r="AE254" s="1">
        <v>127.7</v>
      </c>
    </row>
    <row r="255" spans="1:31" x14ac:dyDescent="0.25">
      <c r="A255" s="1" t="s">
        <v>34</v>
      </c>
      <c r="B255" s="1">
        <v>2015</v>
      </c>
      <c r="C255" s="1" t="s">
        <v>40</v>
      </c>
      <c r="D255" s="1" t="s">
        <v>113</v>
      </c>
      <c r="E255" s="1">
        <v>123.7</v>
      </c>
      <c r="F255" s="1">
        <v>132.5</v>
      </c>
      <c r="G255" s="1">
        <v>121</v>
      </c>
      <c r="H255" s="1">
        <v>128.30000000000001</v>
      </c>
      <c r="I255" s="1">
        <v>110.9</v>
      </c>
      <c r="J255" s="1">
        <v>133.1</v>
      </c>
      <c r="K255" s="1">
        <v>145.1</v>
      </c>
      <c r="L255" s="1">
        <v>139.1</v>
      </c>
      <c r="M255" s="1">
        <v>91.3</v>
      </c>
      <c r="N255" s="1">
        <v>126.1</v>
      </c>
      <c r="O255" s="1">
        <v>119.9</v>
      </c>
      <c r="P255" s="1">
        <v>131.4</v>
      </c>
      <c r="Q255" s="1">
        <v>128.19999999999999</v>
      </c>
      <c r="R255" s="1">
        <v>130.4</v>
      </c>
      <c r="S255" s="1">
        <v>126.7</v>
      </c>
      <c r="T255" s="1">
        <v>122.3</v>
      </c>
      <c r="U255" s="1">
        <v>126.1</v>
      </c>
      <c r="V255" s="1">
        <v>119.9</v>
      </c>
      <c r="W255" s="1">
        <v>120.1</v>
      </c>
      <c r="X255" s="1">
        <v>121.3</v>
      </c>
      <c r="Y255" s="1">
        <v>119</v>
      </c>
      <c r="Z255" s="1">
        <v>112.7</v>
      </c>
      <c r="AA255" s="1">
        <v>117.2</v>
      </c>
      <c r="AB255" s="1">
        <v>124.4</v>
      </c>
      <c r="AC255" s="1">
        <v>112.3</v>
      </c>
      <c r="AD255" s="1">
        <v>117.2</v>
      </c>
      <c r="AE255" s="1">
        <v>123.6</v>
      </c>
    </row>
    <row r="256" spans="1:31" x14ac:dyDescent="0.25">
      <c r="A256" s="1" t="s">
        <v>34</v>
      </c>
      <c r="B256" s="1">
        <v>2017</v>
      </c>
      <c r="C256" s="1" t="s">
        <v>31</v>
      </c>
      <c r="D256" s="1" t="s">
        <v>131</v>
      </c>
      <c r="E256" s="1">
        <v>132.80000000000001</v>
      </c>
      <c r="F256" s="1">
        <v>138.19999999999999</v>
      </c>
      <c r="G256" s="1">
        <v>132.19999999999999</v>
      </c>
      <c r="H256" s="1">
        <v>135.4</v>
      </c>
      <c r="I256" s="1">
        <v>119.1</v>
      </c>
      <c r="J256" s="1">
        <v>133</v>
      </c>
      <c r="K256" s="1">
        <v>119.4</v>
      </c>
      <c r="L256" s="1">
        <v>159.5</v>
      </c>
      <c r="M256" s="1">
        <v>115.6</v>
      </c>
      <c r="N256" s="1">
        <v>139.6</v>
      </c>
      <c r="O256" s="1">
        <v>126.6</v>
      </c>
      <c r="P256" s="1">
        <v>142.80000000000001</v>
      </c>
      <c r="Q256" s="1">
        <v>133.1</v>
      </c>
      <c r="R256" s="1">
        <v>143.80000000000001</v>
      </c>
      <c r="S256" s="1">
        <v>136.6</v>
      </c>
      <c r="T256" s="1">
        <v>130.19999999999999</v>
      </c>
      <c r="U256" s="1">
        <v>135.6</v>
      </c>
      <c r="V256" s="1">
        <v>129.6</v>
      </c>
      <c r="W256" s="1">
        <v>126.8</v>
      </c>
      <c r="X256" s="1">
        <v>129.4</v>
      </c>
      <c r="Y256" s="1">
        <v>127.1</v>
      </c>
      <c r="Z256" s="1">
        <v>117</v>
      </c>
      <c r="AA256" s="1">
        <v>124.2</v>
      </c>
      <c r="AB256" s="1">
        <v>133.30000000000001</v>
      </c>
      <c r="AC256" s="1">
        <v>121.7</v>
      </c>
      <c r="AD256" s="1">
        <v>124.4</v>
      </c>
      <c r="AE256" s="1">
        <v>130.30000000000001</v>
      </c>
    </row>
    <row r="257" spans="1:31" x14ac:dyDescent="0.25">
      <c r="A257" s="1" t="s">
        <v>34</v>
      </c>
      <c r="B257" s="1">
        <v>2015</v>
      </c>
      <c r="C257" s="1" t="s">
        <v>39</v>
      </c>
      <c r="D257" s="1" t="s">
        <v>112</v>
      </c>
      <c r="E257" s="1">
        <v>123.9</v>
      </c>
      <c r="F257" s="1">
        <v>131.80000000000001</v>
      </c>
      <c r="G257" s="1">
        <v>121.6</v>
      </c>
      <c r="H257" s="1">
        <v>128.19999999999999</v>
      </c>
      <c r="I257" s="1">
        <v>111.1</v>
      </c>
      <c r="J257" s="1">
        <v>132.80000000000001</v>
      </c>
      <c r="K257" s="1">
        <v>139.1</v>
      </c>
      <c r="L257" s="1">
        <v>137.4</v>
      </c>
      <c r="M257" s="1">
        <v>94.1</v>
      </c>
      <c r="N257" s="1">
        <v>125.5</v>
      </c>
      <c r="O257" s="1">
        <v>119.8</v>
      </c>
      <c r="P257" s="1">
        <v>130.9</v>
      </c>
      <c r="Q257" s="1">
        <v>127.3</v>
      </c>
      <c r="R257" s="1">
        <v>129.19999999999999</v>
      </c>
      <c r="S257" s="1">
        <v>126.4</v>
      </c>
      <c r="T257" s="1">
        <v>122</v>
      </c>
      <c r="U257" s="1">
        <v>125.7</v>
      </c>
      <c r="V257" s="1">
        <v>119</v>
      </c>
      <c r="W257" s="1">
        <v>119.8</v>
      </c>
      <c r="X257" s="1">
        <v>121.1</v>
      </c>
      <c r="Y257" s="1">
        <v>118.5</v>
      </c>
      <c r="Z257" s="1">
        <v>112.9</v>
      </c>
      <c r="AA257" s="1">
        <v>116.9</v>
      </c>
      <c r="AB257" s="1">
        <v>123.1</v>
      </c>
      <c r="AC257" s="1">
        <v>112.8</v>
      </c>
      <c r="AD257" s="1">
        <v>117</v>
      </c>
      <c r="AE257" s="1">
        <v>123</v>
      </c>
    </row>
    <row r="258" spans="1:31" x14ac:dyDescent="0.25">
      <c r="A258" s="1" t="s">
        <v>33</v>
      </c>
      <c r="B258" s="1">
        <v>2015</v>
      </c>
      <c r="C258" s="1" t="s">
        <v>40</v>
      </c>
      <c r="D258" s="1" t="s">
        <v>113</v>
      </c>
      <c r="E258" s="1">
        <v>123.2</v>
      </c>
      <c r="F258" s="1">
        <v>134.30000000000001</v>
      </c>
      <c r="G258" s="1">
        <v>119.5</v>
      </c>
      <c r="H258" s="1">
        <v>127.7</v>
      </c>
      <c r="I258" s="1">
        <v>106.3</v>
      </c>
      <c r="J258" s="1">
        <v>132.80000000000001</v>
      </c>
      <c r="K258" s="1">
        <v>153.5</v>
      </c>
      <c r="L258" s="1">
        <v>149.5</v>
      </c>
      <c r="M258" s="1">
        <v>85.7</v>
      </c>
      <c r="N258" s="1">
        <v>131.5</v>
      </c>
      <c r="O258" s="1">
        <v>118.3</v>
      </c>
      <c r="P258" s="1">
        <v>131.1</v>
      </c>
      <c r="Q258" s="1">
        <v>129.5</v>
      </c>
      <c r="R258" s="1">
        <v>133.1</v>
      </c>
      <c r="S258" s="1">
        <v>123.5</v>
      </c>
      <c r="T258" s="1">
        <v>117.9</v>
      </c>
      <c r="U258" s="1">
        <v>122.7</v>
      </c>
      <c r="V258" s="1">
        <v>119.9</v>
      </c>
      <c r="W258" s="1">
        <v>115.3</v>
      </c>
      <c r="X258" s="1">
        <v>119.5</v>
      </c>
      <c r="Y258" s="1">
        <v>116</v>
      </c>
      <c r="Z258" s="1">
        <v>111.5</v>
      </c>
      <c r="AA258" s="1">
        <v>116.6</v>
      </c>
      <c r="AB258" s="1">
        <v>125.4</v>
      </c>
      <c r="AC258" s="1">
        <v>111.7</v>
      </c>
      <c r="AD258" s="1">
        <v>116.3</v>
      </c>
      <c r="AE258" s="1">
        <v>122.4</v>
      </c>
    </row>
    <row r="259" spans="1:31" x14ac:dyDescent="0.25">
      <c r="A259" s="1" t="s">
        <v>33</v>
      </c>
      <c r="B259" s="1">
        <v>2014</v>
      </c>
      <c r="C259" s="1" t="s">
        <v>41</v>
      </c>
      <c r="D259" s="1" t="s">
        <v>102</v>
      </c>
      <c r="E259" s="1">
        <v>124.8</v>
      </c>
      <c r="F259" s="1">
        <v>127.3</v>
      </c>
      <c r="G259" s="1">
        <v>116.5</v>
      </c>
      <c r="H259" s="1">
        <v>122.2</v>
      </c>
      <c r="I259" s="1">
        <v>103.6</v>
      </c>
      <c r="J259" s="1">
        <v>132.69999999999999</v>
      </c>
      <c r="K259" s="1">
        <v>181.9</v>
      </c>
      <c r="L259" s="1">
        <v>115.2</v>
      </c>
      <c r="M259" s="1">
        <v>102.7</v>
      </c>
      <c r="N259" s="1">
        <v>122.1</v>
      </c>
      <c r="O259" s="1">
        <v>114.4</v>
      </c>
      <c r="P259" s="1">
        <v>124.7</v>
      </c>
      <c r="Q259" s="1">
        <v>128.9</v>
      </c>
      <c r="R259" s="1">
        <v>123</v>
      </c>
      <c r="S259" s="1">
        <v>118.6</v>
      </c>
      <c r="T259" s="1">
        <v>114.1</v>
      </c>
      <c r="U259" s="1">
        <v>117.9</v>
      </c>
      <c r="V259" s="1">
        <v>115.5</v>
      </c>
      <c r="W259" s="1">
        <v>111.8</v>
      </c>
      <c r="X259" s="1">
        <v>115.3</v>
      </c>
      <c r="Y259" s="1">
        <v>112.2</v>
      </c>
      <c r="Z259" s="1">
        <v>112.5</v>
      </c>
      <c r="AA259" s="1">
        <v>112.9</v>
      </c>
      <c r="AB259" s="1">
        <v>119.2</v>
      </c>
      <c r="AC259" s="1">
        <v>110.5</v>
      </c>
      <c r="AD259" s="1">
        <v>113.9</v>
      </c>
      <c r="AE259" s="1">
        <v>119.9</v>
      </c>
    </row>
    <row r="260" spans="1:31" x14ac:dyDescent="0.25">
      <c r="A260" s="1" t="s">
        <v>34</v>
      </c>
      <c r="B260" s="1">
        <v>2016</v>
      </c>
      <c r="C260" s="1" t="s">
        <v>45</v>
      </c>
      <c r="D260" s="1" t="s">
        <v>130</v>
      </c>
      <c r="E260" s="1">
        <v>132.30000000000001</v>
      </c>
      <c r="F260" s="1">
        <v>137.6</v>
      </c>
      <c r="G260" s="1">
        <v>132.9</v>
      </c>
      <c r="H260" s="1">
        <v>135.1</v>
      </c>
      <c r="I260" s="1">
        <v>118.6</v>
      </c>
      <c r="J260" s="1">
        <v>132.69999999999999</v>
      </c>
      <c r="K260" s="1">
        <v>125.3</v>
      </c>
      <c r="L260" s="1">
        <v>168.7</v>
      </c>
      <c r="M260" s="1">
        <v>114.4</v>
      </c>
      <c r="N260" s="1">
        <v>140.19999999999999</v>
      </c>
      <c r="O260" s="1">
        <v>126.6</v>
      </c>
      <c r="P260" s="1">
        <v>142.30000000000001</v>
      </c>
      <c r="Q260" s="1">
        <v>134</v>
      </c>
      <c r="R260" s="1">
        <v>143.1</v>
      </c>
      <c r="S260" s="1">
        <v>136.30000000000001</v>
      </c>
      <c r="T260" s="1">
        <v>129.80000000000001</v>
      </c>
      <c r="U260" s="1">
        <v>135.4</v>
      </c>
      <c r="V260" s="1">
        <v>128.5</v>
      </c>
      <c r="W260" s="1">
        <v>126.6</v>
      </c>
      <c r="X260" s="1">
        <v>129.19999999999999</v>
      </c>
      <c r="Y260" s="1">
        <v>126.9</v>
      </c>
      <c r="Z260" s="1">
        <v>116</v>
      </c>
      <c r="AA260" s="1">
        <v>124.2</v>
      </c>
      <c r="AB260" s="1">
        <v>133.1</v>
      </c>
      <c r="AC260" s="1">
        <v>121.1</v>
      </c>
      <c r="AD260" s="1">
        <v>123.9</v>
      </c>
      <c r="AE260" s="1">
        <v>130.4</v>
      </c>
    </row>
    <row r="261" spans="1:31" x14ac:dyDescent="0.25">
      <c r="A261" s="1" t="s">
        <v>34</v>
      </c>
      <c r="B261" s="1">
        <v>2015</v>
      </c>
      <c r="C261" s="1" t="s">
        <v>38</v>
      </c>
      <c r="D261" s="1" t="s">
        <v>111</v>
      </c>
      <c r="E261" s="1">
        <v>123.6</v>
      </c>
      <c r="F261" s="1">
        <v>128</v>
      </c>
      <c r="G261" s="1">
        <v>115</v>
      </c>
      <c r="H261" s="1">
        <v>127.3</v>
      </c>
      <c r="I261" s="1">
        <v>109.8</v>
      </c>
      <c r="J261" s="1">
        <v>132.6</v>
      </c>
      <c r="K261" s="1">
        <v>130.9</v>
      </c>
      <c r="L261" s="1">
        <v>130.5</v>
      </c>
      <c r="M261" s="1">
        <v>95.3</v>
      </c>
      <c r="N261" s="1">
        <v>123.4</v>
      </c>
      <c r="O261" s="1">
        <v>119.2</v>
      </c>
      <c r="P261" s="1">
        <v>129.80000000000001</v>
      </c>
      <c r="Q261" s="1">
        <v>125</v>
      </c>
      <c r="R261" s="1">
        <v>127.9</v>
      </c>
      <c r="S261" s="1">
        <v>125.4</v>
      </c>
      <c r="T261" s="1">
        <v>121.3</v>
      </c>
      <c r="U261" s="1">
        <v>124.7</v>
      </c>
      <c r="V261" s="1">
        <v>119.6</v>
      </c>
      <c r="W261" s="1">
        <v>119.2</v>
      </c>
      <c r="X261" s="1">
        <v>120.2</v>
      </c>
      <c r="Y261" s="1">
        <v>117.7</v>
      </c>
      <c r="Z261" s="1">
        <v>112</v>
      </c>
      <c r="AA261" s="1">
        <v>116.3</v>
      </c>
      <c r="AB261" s="1">
        <v>121.4</v>
      </c>
      <c r="AC261" s="1">
        <v>112.3</v>
      </c>
      <c r="AD261" s="1">
        <v>116.1</v>
      </c>
      <c r="AE261" s="1">
        <v>121.6</v>
      </c>
    </row>
    <row r="262" spans="1:31" x14ac:dyDescent="0.25">
      <c r="A262" s="1" t="s">
        <v>34</v>
      </c>
      <c r="B262" s="1">
        <v>2015</v>
      </c>
      <c r="C262" s="1" t="s">
        <v>37</v>
      </c>
      <c r="D262" s="1" t="s">
        <v>110</v>
      </c>
      <c r="E262" s="1">
        <v>123.5</v>
      </c>
      <c r="F262" s="1">
        <v>126.4</v>
      </c>
      <c r="G262" s="1">
        <v>114.4</v>
      </c>
      <c r="H262" s="1">
        <v>126.6</v>
      </c>
      <c r="I262" s="1">
        <v>109.2</v>
      </c>
      <c r="J262" s="1">
        <v>132.5</v>
      </c>
      <c r="K262" s="1">
        <v>128.6</v>
      </c>
      <c r="L262" s="1">
        <v>124.8</v>
      </c>
      <c r="M262" s="1">
        <v>95.7</v>
      </c>
      <c r="N262" s="1">
        <v>122.4</v>
      </c>
      <c r="O262" s="1">
        <v>118.5</v>
      </c>
      <c r="P262" s="1">
        <v>129.1</v>
      </c>
      <c r="Q262" s="1">
        <v>124</v>
      </c>
      <c r="R262" s="1">
        <v>126.9</v>
      </c>
      <c r="S262" s="1">
        <v>124.7</v>
      </c>
      <c r="T262" s="1">
        <v>120.8</v>
      </c>
      <c r="U262" s="1">
        <v>124.1</v>
      </c>
      <c r="V262" s="1">
        <v>119.2</v>
      </c>
      <c r="W262" s="1">
        <v>118.7</v>
      </c>
      <c r="X262" s="1">
        <v>119.7</v>
      </c>
      <c r="Y262" s="1">
        <v>117.1</v>
      </c>
      <c r="Z262" s="1">
        <v>110.1</v>
      </c>
      <c r="AA262" s="1">
        <v>115.9</v>
      </c>
      <c r="AB262" s="1">
        <v>121</v>
      </c>
      <c r="AC262" s="1">
        <v>111.7</v>
      </c>
      <c r="AD262" s="1">
        <v>115.1</v>
      </c>
      <c r="AE262" s="1">
        <v>120.7</v>
      </c>
    </row>
    <row r="263" spans="1:31" x14ac:dyDescent="0.25">
      <c r="A263" s="1" t="s">
        <v>33</v>
      </c>
      <c r="B263" s="1">
        <v>2016</v>
      </c>
      <c r="C263" s="1" t="s">
        <v>42</v>
      </c>
      <c r="D263" s="1" t="s">
        <v>127</v>
      </c>
      <c r="E263" s="1">
        <v>128.1</v>
      </c>
      <c r="F263" s="1">
        <v>137.69999999999999</v>
      </c>
      <c r="G263" s="1">
        <v>130.6</v>
      </c>
      <c r="H263" s="1">
        <v>132.6</v>
      </c>
      <c r="I263" s="1">
        <v>111.9</v>
      </c>
      <c r="J263" s="1">
        <v>132.5</v>
      </c>
      <c r="K263" s="1">
        <v>152.9</v>
      </c>
      <c r="L263" s="1">
        <v>173.6</v>
      </c>
      <c r="M263" s="1">
        <v>115.1</v>
      </c>
      <c r="N263" s="1">
        <v>144.80000000000001</v>
      </c>
      <c r="O263" s="1">
        <v>122.1</v>
      </c>
      <c r="P263" s="1">
        <v>138.80000000000001</v>
      </c>
      <c r="Q263" s="1">
        <v>135.69999999999999</v>
      </c>
      <c r="R263" s="1">
        <v>143.9</v>
      </c>
      <c r="S263" s="1">
        <v>128.69999999999999</v>
      </c>
      <c r="T263" s="1">
        <v>121.6</v>
      </c>
      <c r="U263" s="1">
        <v>127.7</v>
      </c>
      <c r="V263" s="1">
        <v>127.9</v>
      </c>
      <c r="W263" s="1">
        <v>114.8</v>
      </c>
      <c r="X263" s="1">
        <v>124.3</v>
      </c>
      <c r="Y263" s="1">
        <v>121.4</v>
      </c>
      <c r="Z263" s="1">
        <v>111.8</v>
      </c>
      <c r="AA263" s="1">
        <v>120.8</v>
      </c>
      <c r="AB263" s="1">
        <v>131.6</v>
      </c>
      <c r="AC263" s="1">
        <v>121.2</v>
      </c>
      <c r="AD263" s="1">
        <v>120.5</v>
      </c>
      <c r="AE263" s="1">
        <v>128</v>
      </c>
    </row>
    <row r="264" spans="1:31" x14ac:dyDescent="0.25">
      <c r="A264" s="1" t="s">
        <v>33</v>
      </c>
      <c r="B264" s="1">
        <v>2015</v>
      </c>
      <c r="C264" s="1" t="s">
        <v>39</v>
      </c>
      <c r="D264" s="1" t="s">
        <v>112</v>
      </c>
      <c r="E264" s="1">
        <v>123.6</v>
      </c>
      <c r="F264" s="1">
        <v>134.4</v>
      </c>
      <c r="G264" s="1">
        <v>120.9</v>
      </c>
      <c r="H264" s="1">
        <v>127.3</v>
      </c>
      <c r="I264" s="1">
        <v>106</v>
      </c>
      <c r="J264" s="1">
        <v>132.30000000000001</v>
      </c>
      <c r="K264" s="1">
        <v>146.69999999999999</v>
      </c>
      <c r="L264" s="1">
        <v>148.1</v>
      </c>
      <c r="M264" s="1">
        <v>89.8</v>
      </c>
      <c r="N264" s="1">
        <v>130.5</v>
      </c>
      <c r="O264" s="1">
        <v>118</v>
      </c>
      <c r="P264" s="1">
        <v>130.5</v>
      </c>
      <c r="Q264" s="1">
        <v>128.5</v>
      </c>
      <c r="R264" s="1">
        <v>132.1</v>
      </c>
      <c r="S264" s="1">
        <v>123.2</v>
      </c>
      <c r="T264" s="1">
        <v>117.6</v>
      </c>
      <c r="U264" s="1">
        <v>122.3</v>
      </c>
      <c r="V264" s="1">
        <v>119</v>
      </c>
      <c r="W264" s="1">
        <v>115.1</v>
      </c>
      <c r="X264" s="1">
        <v>119.2</v>
      </c>
      <c r="Y264" s="1">
        <v>115.4</v>
      </c>
      <c r="Z264" s="1">
        <v>111.7</v>
      </c>
      <c r="AA264" s="1">
        <v>116.2</v>
      </c>
      <c r="AB264" s="1">
        <v>123.8</v>
      </c>
      <c r="AC264" s="1">
        <v>112.5</v>
      </c>
      <c r="AD264" s="1">
        <v>116</v>
      </c>
      <c r="AE264" s="1">
        <v>121.7</v>
      </c>
    </row>
    <row r="265" spans="1:31" x14ac:dyDescent="0.25">
      <c r="A265" s="1" t="s">
        <v>34</v>
      </c>
      <c r="B265" s="1">
        <v>2015</v>
      </c>
      <c r="C265" s="1" t="s">
        <v>41</v>
      </c>
      <c r="D265" s="1" t="s">
        <v>114</v>
      </c>
      <c r="E265" s="1">
        <v>124.2</v>
      </c>
      <c r="F265" s="1">
        <v>131.4</v>
      </c>
      <c r="G265" s="1">
        <v>120.1</v>
      </c>
      <c r="H265" s="1">
        <v>128.5</v>
      </c>
      <c r="I265" s="1">
        <v>111.4</v>
      </c>
      <c r="J265" s="1">
        <v>132.30000000000001</v>
      </c>
      <c r="K265" s="1">
        <v>157.6</v>
      </c>
      <c r="L265" s="1">
        <v>144</v>
      </c>
      <c r="M265" s="1">
        <v>90.5</v>
      </c>
      <c r="N265" s="1">
        <v>126.8</v>
      </c>
      <c r="O265" s="1">
        <v>120.4</v>
      </c>
      <c r="P265" s="1">
        <v>132.1</v>
      </c>
      <c r="Q265" s="1">
        <v>130.30000000000001</v>
      </c>
      <c r="R265" s="1">
        <v>131.19999999999999</v>
      </c>
      <c r="S265" s="1">
        <v>127.2</v>
      </c>
      <c r="T265" s="1">
        <v>122.9</v>
      </c>
      <c r="U265" s="1">
        <v>126.6</v>
      </c>
      <c r="V265" s="1">
        <v>120.9</v>
      </c>
      <c r="W265" s="1">
        <v>120.6</v>
      </c>
      <c r="X265" s="1">
        <v>122</v>
      </c>
      <c r="Y265" s="1">
        <v>119.4</v>
      </c>
      <c r="Z265" s="1">
        <v>111.7</v>
      </c>
      <c r="AA265" s="1">
        <v>117.8</v>
      </c>
      <c r="AB265" s="1">
        <v>125.1</v>
      </c>
      <c r="AC265" s="1">
        <v>112.3</v>
      </c>
      <c r="AD265" s="1">
        <v>117.2</v>
      </c>
      <c r="AE265" s="1">
        <v>124.8</v>
      </c>
    </row>
    <row r="266" spans="1:31" x14ac:dyDescent="0.25">
      <c r="A266" s="1" t="s">
        <v>30</v>
      </c>
      <c r="B266" s="1">
        <v>2015</v>
      </c>
      <c r="C266" s="1" t="s">
        <v>42</v>
      </c>
      <c r="D266" s="1" t="s">
        <v>115</v>
      </c>
      <c r="E266" s="1">
        <v>125.1</v>
      </c>
      <c r="F266" s="1">
        <v>131.1</v>
      </c>
      <c r="G266" s="1">
        <v>120.7</v>
      </c>
      <c r="H266" s="1">
        <v>129.19999999999999</v>
      </c>
      <c r="I266" s="1">
        <v>114.7</v>
      </c>
      <c r="J266" s="1">
        <v>132.30000000000001</v>
      </c>
      <c r="K266" s="1">
        <v>158.9</v>
      </c>
      <c r="L266" s="1">
        <v>142.1</v>
      </c>
      <c r="M266" s="1">
        <v>92.5</v>
      </c>
      <c r="N266" s="1">
        <v>125.4</v>
      </c>
      <c r="O266" s="1">
        <v>121.9</v>
      </c>
      <c r="P266" s="1">
        <v>132.69999999999999</v>
      </c>
      <c r="Q266" s="1">
        <v>131</v>
      </c>
      <c r="R266" s="1">
        <v>131</v>
      </c>
      <c r="S266" s="1">
        <v>130.4</v>
      </c>
      <c r="T266" s="1">
        <v>126.8</v>
      </c>
      <c r="U266" s="1">
        <v>129.9</v>
      </c>
      <c r="V266" s="14">
        <f>VLOOKUP($D266,Notes!$B$2:$C$229,2,0)</f>
        <v>121.6</v>
      </c>
      <c r="W266" s="1">
        <v>123.7</v>
      </c>
      <c r="X266" s="1">
        <v>124.5</v>
      </c>
      <c r="Y266" s="1">
        <v>121.4</v>
      </c>
      <c r="Z266" s="1">
        <v>113.8</v>
      </c>
      <c r="AA266" s="1">
        <v>119.6</v>
      </c>
      <c r="AB266" s="1">
        <v>124.5</v>
      </c>
      <c r="AC266" s="1">
        <v>113.7</v>
      </c>
      <c r="AD266" s="1">
        <v>118.8</v>
      </c>
      <c r="AE266" s="1">
        <v>127</v>
      </c>
    </row>
    <row r="267" spans="1:31" x14ac:dyDescent="0.25">
      <c r="A267" s="1" t="s">
        <v>30</v>
      </c>
      <c r="B267" s="1">
        <v>2015</v>
      </c>
      <c r="C267" s="1" t="s">
        <v>44</v>
      </c>
      <c r="D267" s="1" t="s">
        <v>117</v>
      </c>
      <c r="E267" s="1">
        <v>126.1</v>
      </c>
      <c r="F267" s="1">
        <v>130.6</v>
      </c>
      <c r="G267" s="1">
        <v>121.7</v>
      </c>
      <c r="H267" s="1">
        <v>129.5</v>
      </c>
      <c r="I267" s="1">
        <v>117.8</v>
      </c>
      <c r="J267" s="1">
        <v>132.1</v>
      </c>
      <c r="K267" s="1">
        <v>155.19999999999999</v>
      </c>
      <c r="L267" s="1">
        <v>160.80000000000001</v>
      </c>
      <c r="M267" s="1">
        <v>94.5</v>
      </c>
      <c r="N267" s="1">
        <v>128.30000000000001</v>
      </c>
      <c r="O267" s="1">
        <v>123.1</v>
      </c>
      <c r="P267" s="1">
        <v>134.19999999999999</v>
      </c>
      <c r="Q267" s="1">
        <v>132.4</v>
      </c>
      <c r="R267" s="1">
        <v>132.19999999999999</v>
      </c>
      <c r="S267" s="1">
        <v>132.1</v>
      </c>
      <c r="T267" s="1">
        <v>128.19999999999999</v>
      </c>
      <c r="U267" s="1">
        <v>131.5</v>
      </c>
      <c r="V267" s="14">
        <f>VLOOKUP($D267,Notes!$B$2:$C$229,2,0)</f>
        <v>122.9</v>
      </c>
      <c r="W267" s="1">
        <v>125.6</v>
      </c>
      <c r="X267" s="1">
        <v>125.6</v>
      </c>
      <c r="Y267" s="1">
        <v>122.6</v>
      </c>
      <c r="Z267" s="1">
        <v>114</v>
      </c>
      <c r="AA267" s="1">
        <v>120.9</v>
      </c>
      <c r="AB267" s="1">
        <v>125.8</v>
      </c>
      <c r="AC267" s="1">
        <v>114.2</v>
      </c>
      <c r="AD267" s="1">
        <v>119.6</v>
      </c>
      <c r="AE267" s="1">
        <v>128.30000000000001</v>
      </c>
    </row>
    <row r="268" spans="1:31" x14ac:dyDescent="0.25">
      <c r="A268" s="1" t="s">
        <v>30</v>
      </c>
      <c r="B268" s="1">
        <v>2016</v>
      </c>
      <c r="C268" s="1" t="s">
        <v>36</v>
      </c>
      <c r="D268" s="1" t="s">
        <v>121</v>
      </c>
      <c r="E268" s="1">
        <v>127.3</v>
      </c>
      <c r="F268" s="1">
        <v>134.4</v>
      </c>
      <c r="G268" s="1">
        <v>125.1</v>
      </c>
      <c r="H268" s="1">
        <v>130.5</v>
      </c>
      <c r="I268" s="1">
        <v>118.3</v>
      </c>
      <c r="J268" s="1">
        <v>131.69999999999999</v>
      </c>
      <c r="K268" s="1">
        <v>130.69999999999999</v>
      </c>
      <c r="L268" s="1">
        <v>161.19999999999999</v>
      </c>
      <c r="M268" s="1">
        <v>100.4</v>
      </c>
      <c r="N268" s="1">
        <v>130.80000000000001</v>
      </c>
      <c r="O268" s="1">
        <v>124.9</v>
      </c>
      <c r="P268" s="1">
        <v>137</v>
      </c>
      <c r="Q268" s="1">
        <v>130.4</v>
      </c>
      <c r="R268" s="1">
        <v>135</v>
      </c>
      <c r="S268" s="1">
        <v>134.4</v>
      </c>
      <c r="T268" s="1">
        <v>130.19999999999999</v>
      </c>
      <c r="U268" s="1">
        <v>133.80000000000001</v>
      </c>
      <c r="V268" s="14">
        <f>VLOOKUP($D268,Notes!$B$2:$C$229,2,0)</f>
        <v>124.9</v>
      </c>
      <c r="W268" s="1">
        <v>127</v>
      </c>
      <c r="X268" s="1">
        <v>127.7</v>
      </c>
      <c r="Y268" s="1">
        <v>124.8</v>
      </c>
      <c r="Z268" s="1">
        <v>113.6</v>
      </c>
      <c r="AA268" s="1">
        <v>122.5</v>
      </c>
      <c r="AB268" s="1">
        <v>127.5</v>
      </c>
      <c r="AC268" s="1">
        <v>117.4</v>
      </c>
      <c r="AD268" s="1">
        <v>121.1</v>
      </c>
      <c r="AE268" s="1">
        <v>128</v>
      </c>
    </row>
    <row r="269" spans="1:31" x14ac:dyDescent="0.25">
      <c r="A269" s="1" t="s">
        <v>30</v>
      </c>
      <c r="B269" s="1">
        <v>2015</v>
      </c>
      <c r="C269" s="1" t="s">
        <v>45</v>
      </c>
      <c r="D269" s="1" t="s">
        <v>118</v>
      </c>
      <c r="E269" s="1">
        <v>126.3</v>
      </c>
      <c r="F269" s="1">
        <v>131.30000000000001</v>
      </c>
      <c r="G269" s="1">
        <v>123.3</v>
      </c>
      <c r="H269" s="1">
        <v>129.80000000000001</v>
      </c>
      <c r="I269" s="1">
        <v>118.3</v>
      </c>
      <c r="J269" s="1">
        <v>131.6</v>
      </c>
      <c r="K269" s="1">
        <v>145.5</v>
      </c>
      <c r="L269" s="1">
        <v>162.1</v>
      </c>
      <c r="M269" s="1">
        <v>95.4</v>
      </c>
      <c r="N269" s="1">
        <v>128.9</v>
      </c>
      <c r="O269" s="1">
        <v>123.3</v>
      </c>
      <c r="P269" s="1">
        <v>135.1</v>
      </c>
      <c r="Q269" s="1">
        <v>131.4</v>
      </c>
      <c r="R269" s="1">
        <v>133.1</v>
      </c>
      <c r="S269" s="1">
        <v>132.5</v>
      </c>
      <c r="T269" s="1">
        <v>128.5</v>
      </c>
      <c r="U269" s="1">
        <v>131.9</v>
      </c>
      <c r="V269" s="14">
        <f>VLOOKUP($D269,Notes!$B$2:$C$229,2,0)</f>
        <v>122.4</v>
      </c>
      <c r="W269" s="1">
        <v>125.7</v>
      </c>
      <c r="X269" s="1">
        <v>126</v>
      </c>
      <c r="Y269" s="1">
        <v>123.1</v>
      </c>
      <c r="Z269" s="1">
        <v>114</v>
      </c>
      <c r="AA269" s="1">
        <v>121.6</v>
      </c>
      <c r="AB269" s="1">
        <v>125.6</v>
      </c>
      <c r="AC269" s="1">
        <v>114.1</v>
      </c>
      <c r="AD269" s="1">
        <v>119.8</v>
      </c>
      <c r="AE269" s="1">
        <v>127.9</v>
      </c>
    </row>
    <row r="270" spans="1:31" x14ac:dyDescent="0.25">
      <c r="A270" s="1" t="s">
        <v>30</v>
      </c>
      <c r="B270" s="1">
        <v>2016</v>
      </c>
      <c r="C270" s="1" t="s">
        <v>31</v>
      </c>
      <c r="D270" s="1" t="s">
        <v>119</v>
      </c>
      <c r="E270" s="1">
        <v>126.8</v>
      </c>
      <c r="F270" s="1">
        <v>133.19999999999999</v>
      </c>
      <c r="G270" s="1">
        <v>126.5</v>
      </c>
      <c r="H270" s="1">
        <v>130.30000000000001</v>
      </c>
      <c r="I270" s="1">
        <v>118.9</v>
      </c>
      <c r="J270" s="1">
        <v>131.6</v>
      </c>
      <c r="K270" s="1">
        <v>140.1</v>
      </c>
      <c r="L270" s="1">
        <v>163.80000000000001</v>
      </c>
      <c r="M270" s="1">
        <v>97.7</v>
      </c>
      <c r="N270" s="1">
        <v>129.6</v>
      </c>
      <c r="O270" s="1">
        <v>124.3</v>
      </c>
      <c r="P270" s="1">
        <v>135.9</v>
      </c>
      <c r="Q270" s="1">
        <v>131.4</v>
      </c>
      <c r="R270" s="1">
        <v>133.6</v>
      </c>
      <c r="S270" s="1">
        <v>133.19999999999999</v>
      </c>
      <c r="T270" s="1">
        <v>128.9</v>
      </c>
      <c r="U270" s="1">
        <v>132.6</v>
      </c>
      <c r="V270" s="14">
        <f>VLOOKUP($D270,Notes!$B$2:$C$229,2,0)</f>
        <v>123.4</v>
      </c>
      <c r="W270" s="1">
        <v>126.2</v>
      </c>
      <c r="X270" s="1">
        <v>126.6</v>
      </c>
      <c r="Y270" s="1">
        <v>123.7</v>
      </c>
      <c r="Z270" s="1">
        <v>113.6</v>
      </c>
      <c r="AA270" s="1">
        <v>121.4</v>
      </c>
      <c r="AB270" s="1">
        <v>126.2</v>
      </c>
      <c r="AC270" s="1">
        <v>114.9</v>
      </c>
      <c r="AD270" s="1">
        <v>120.1</v>
      </c>
      <c r="AE270" s="1">
        <v>128.1</v>
      </c>
    </row>
    <row r="271" spans="1:31" x14ac:dyDescent="0.25">
      <c r="A271" s="1" t="s">
        <v>33</v>
      </c>
      <c r="B271" s="1">
        <v>2017</v>
      </c>
      <c r="C271" s="1" t="s">
        <v>35</v>
      </c>
      <c r="D271" s="1" t="s">
        <v>132</v>
      </c>
      <c r="E271" s="1">
        <v>132.80000000000001</v>
      </c>
      <c r="F271" s="1">
        <v>139.80000000000001</v>
      </c>
      <c r="G271" s="1">
        <v>129.30000000000001</v>
      </c>
      <c r="H271" s="1">
        <v>133.5</v>
      </c>
      <c r="I271" s="1">
        <v>114.3</v>
      </c>
      <c r="J271" s="1">
        <v>131.4</v>
      </c>
      <c r="K271" s="1">
        <v>120.2</v>
      </c>
      <c r="L271" s="1">
        <v>143.1</v>
      </c>
      <c r="M271" s="1">
        <v>119.5</v>
      </c>
      <c r="N271" s="1">
        <v>144</v>
      </c>
      <c r="O271" s="1">
        <v>123.4</v>
      </c>
      <c r="P271" s="1">
        <v>141.9</v>
      </c>
      <c r="Q271" s="1">
        <v>132.1</v>
      </c>
      <c r="R271" s="1">
        <v>146.30000000000001</v>
      </c>
      <c r="S271" s="1">
        <v>130.5</v>
      </c>
      <c r="T271" s="1">
        <v>122.5</v>
      </c>
      <c r="U271" s="1">
        <v>129.30000000000001</v>
      </c>
      <c r="V271" s="1">
        <v>130.5</v>
      </c>
      <c r="W271" s="1">
        <v>119.2</v>
      </c>
      <c r="X271" s="1">
        <v>125.3</v>
      </c>
      <c r="Y271" s="1">
        <v>122.9</v>
      </c>
      <c r="Z271" s="1">
        <v>115.5</v>
      </c>
      <c r="AA271" s="1">
        <v>122.2</v>
      </c>
      <c r="AB271" s="1">
        <v>132.4</v>
      </c>
      <c r="AC271" s="1">
        <v>121.7</v>
      </c>
      <c r="AD271" s="1">
        <v>122.4</v>
      </c>
      <c r="AE271" s="1">
        <v>128.19999999999999</v>
      </c>
    </row>
    <row r="272" spans="1:31" x14ac:dyDescent="0.25">
      <c r="A272" s="1" t="s">
        <v>33</v>
      </c>
      <c r="B272" s="1">
        <v>2014</v>
      </c>
      <c r="C272" s="1" t="s">
        <v>39</v>
      </c>
      <c r="D272" s="1" t="s">
        <v>100</v>
      </c>
      <c r="E272" s="1">
        <v>123.1</v>
      </c>
      <c r="F272" s="1">
        <v>125.9</v>
      </c>
      <c r="G272" s="1">
        <v>115.4</v>
      </c>
      <c r="H272" s="1">
        <v>120.4</v>
      </c>
      <c r="I272" s="1">
        <v>103.4</v>
      </c>
      <c r="J272" s="1">
        <v>131.19999999999999</v>
      </c>
      <c r="K272" s="1">
        <v>137.5</v>
      </c>
      <c r="L272" s="1">
        <v>112.8</v>
      </c>
      <c r="M272" s="1">
        <v>101.4</v>
      </c>
      <c r="N272" s="1">
        <v>118.3</v>
      </c>
      <c r="O272" s="1">
        <v>113.2</v>
      </c>
      <c r="P272" s="1">
        <v>122.4</v>
      </c>
      <c r="Q272" s="1">
        <v>122</v>
      </c>
      <c r="R272" s="1">
        <v>119</v>
      </c>
      <c r="S272" s="1">
        <v>117.4</v>
      </c>
      <c r="T272" s="1">
        <v>113.2</v>
      </c>
      <c r="U272" s="1">
        <v>116.7</v>
      </c>
      <c r="V272" s="1">
        <v>113.9</v>
      </c>
      <c r="W272" s="1">
        <v>111.2</v>
      </c>
      <c r="X272" s="1">
        <v>114.3</v>
      </c>
      <c r="Y272" s="1">
        <v>111.4</v>
      </c>
      <c r="Z272" s="1">
        <v>111.5</v>
      </c>
      <c r="AA272" s="1">
        <v>111.8</v>
      </c>
      <c r="AB272" s="1">
        <v>115.1</v>
      </c>
      <c r="AC272" s="1">
        <v>108.7</v>
      </c>
      <c r="AD272" s="1">
        <v>112.2</v>
      </c>
      <c r="AE272" s="1">
        <v>116.4</v>
      </c>
    </row>
    <row r="273" spans="1:31" x14ac:dyDescent="0.25">
      <c r="A273" s="1" t="s">
        <v>34</v>
      </c>
      <c r="B273" s="1">
        <v>2014</v>
      </c>
      <c r="C273" s="1" t="s">
        <v>40</v>
      </c>
      <c r="D273" s="1" t="s">
        <v>101</v>
      </c>
      <c r="E273" s="1">
        <v>122.4</v>
      </c>
      <c r="F273" s="1">
        <v>123.9</v>
      </c>
      <c r="G273" s="1">
        <v>117.8</v>
      </c>
      <c r="H273" s="1">
        <v>121</v>
      </c>
      <c r="I273" s="1">
        <v>107.9</v>
      </c>
      <c r="J273" s="1">
        <v>131.19999999999999</v>
      </c>
      <c r="K273" s="1">
        <v>157.69999999999999</v>
      </c>
      <c r="L273" s="1">
        <v>113.2</v>
      </c>
      <c r="M273" s="1">
        <v>104.1</v>
      </c>
      <c r="N273" s="1">
        <v>115.5</v>
      </c>
      <c r="O273" s="1">
        <v>114.8</v>
      </c>
      <c r="P273" s="1">
        <v>122.1</v>
      </c>
      <c r="Q273" s="1">
        <v>124.7</v>
      </c>
      <c r="R273" s="1">
        <v>118.8</v>
      </c>
      <c r="S273" s="1">
        <v>119.6</v>
      </c>
      <c r="T273" s="1">
        <v>116.3</v>
      </c>
      <c r="U273" s="1">
        <v>119.1</v>
      </c>
      <c r="V273" s="1">
        <v>114.8</v>
      </c>
      <c r="W273" s="1">
        <v>113.9</v>
      </c>
      <c r="X273" s="1">
        <v>115.2</v>
      </c>
      <c r="Y273" s="1">
        <v>112.7</v>
      </c>
      <c r="Z273" s="1">
        <v>113.1</v>
      </c>
      <c r="AA273" s="1">
        <v>112.1</v>
      </c>
      <c r="AB273" s="1">
        <v>116.8</v>
      </c>
      <c r="AC273" s="1">
        <v>109.2</v>
      </c>
      <c r="AD273" s="1">
        <v>113.3</v>
      </c>
      <c r="AE273" s="1">
        <v>119.2</v>
      </c>
    </row>
    <row r="274" spans="1:31" x14ac:dyDescent="0.25">
      <c r="A274" s="1" t="s">
        <v>34</v>
      </c>
      <c r="B274" s="1">
        <v>2014</v>
      </c>
      <c r="C274" s="1" t="s">
        <v>41</v>
      </c>
      <c r="D274" s="1" t="s">
        <v>102</v>
      </c>
      <c r="E274" s="1">
        <v>122.7</v>
      </c>
      <c r="F274" s="1">
        <v>124.4</v>
      </c>
      <c r="G274" s="1">
        <v>117.3</v>
      </c>
      <c r="H274" s="1">
        <v>122</v>
      </c>
      <c r="I274" s="1">
        <v>108</v>
      </c>
      <c r="J274" s="1">
        <v>131.1</v>
      </c>
      <c r="K274" s="1">
        <v>168.2</v>
      </c>
      <c r="L274" s="1">
        <v>114.5</v>
      </c>
      <c r="M274" s="1">
        <v>104.3</v>
      </c>
      <c r="N274" s="1">
        <v>117.1</v>
      </c>
      <c r="O274" s="1">
        <v>115.2</v>
      </c>
      <c r="P274" s="1">
        <v>123.1</v>
      </c>
      <c r="Q274" s="1">
        <v>126.6</v>
      </c>
      <c r="R274" s="1">
        <v>119.9</v>
      </c>
      <c r="S274" s="1">
        <v>120</v>
      </c>
      <c r="T274" s="1">
        <v>116.8</v>
      </c>
      <c r="U274" s="1">
        <v>119.6</v>
      </c>
      <c r="V274" s="1">
        <v>115.5</v>
      </c>
      <c r="W274" s="1">
        <v>114</v>
      </c>
      <c r="X274" s="1">
        <v>115.6</v>
      </c>
      <c r="Y274" s="1">
        <v>113.3</v>
      </c>
      <c r="Z274" s="1">
        <v>112.8</v>
      </c>
      <c r="AA274" s="1">
        <v>112.6</v>
      </c>
      <c r="AB274" s="1">
        <v>118</v>
      </c>
      <c r="AC274" s="1">
        <v>109.9</v>
      </c>
      <c r="AD274" s="1">
        <v>113.7</v>
      </c>
      <c r="AE274" s="1">
        <v>120.3</v>
      </c>
    </row>
    <row r="275" spans="1:31" x14ac:dyDescent="0.25">
      <c r="A275" s="1" t="s">
        <v>33</v>
      </c>
      <c r="B275" s="1">
        <v>2016</v>
      </c>
      <c r="C275" s="1" t="s">
        <v>37</v>
      </c>
      <c r="D275" s="1" t="s">
        <v>122</v>
      </c>
      <c r="E275" s="1">
        <v>124.9</v>
      </c>
      <c r="F275" s="1">
        <v>139.30000000000001</v>
      </c>
      <c r="G275" s="1">
        <v>119.9</v>
      </c>
      <c r="H275" s="1">
        <v>130.19999999999999</v>
      </c>
      <c r="I275" s="1">
        <v>108.9</v>
      </c>
      <c r="J275" s="1">
        <v>131.1</v>
      </c>
      <c r="K275" s="1">
        <v>136.80000000000001</v>
      </c>
      <c r="L275" s="1">
        <v>176.9</v>
      </c>
      <c r="M275" s="1">
        <v>109.1</v>
      </c>
      <c r="N275" s="1">
        <v>140.4</v>
      </c>
      <c r="O275" s="1">
        <v>121.1</v>
      </c>
      <c r="P275" s="1">
        <v>135.9</v>
      </c>
      <c r="Q275" s="1">
        <v>131.80000000000001</v>
      </c>
      <c r="R275" s="1">
        <v>141.5</v>
      </c>
      <c r="S275" s="1">
        <v>126.8</v>
      </c>
      <c r="T275" s="1">
        <v>120.5</v>
      </c>
      <c r="U275" s="1">
        <v>125.8</v>
      </c>
      <c r="V275" s="1">
        <v>125.6</v>
      </c>
      <c r="W275" s="1">
        <v>114.6</v>
      </c>
      <c r="X275" s="1">
        <v>122.8</v>
      </c>
      <c r="Y275" s="1">
        <v>120</v>
      </c>
      <c r="Z275" s="1">
        <v>110</v>
      </c>
      <c r="AA275" s="1">
        <v>119.5</v>
      </c>
      <c r="AB275" s="1">
        <v>127.6</v>
      </c>
      <c r="AC275" s="1">
        <v>117.6</v>
      </c>
      <c r="AD275" s="1">
        <v>118.2</v>
      </c>
      <c r="AE275" s="1">
        <v>125.3</v>
      </c>
    </row>
    <row r="276" spans="1:31" x14ac:dyDescent="0.25">
      <c r="A276" s="1" t="s">
        <v>30</v>
      </c>
      <c r="B276" s="1">
        <v>2015</v>
      </c>
      <c r="C276" s="1" t="s">
        <v>36</v>
      </c>
      <c r="D276" s="1" t="s">
        <v>109</v>
      </c>
      <c r="E276" s="1">
        <v>123.3</v>
      </c>
      <c r="F276" s="1">
        <v>124.7</v>
      </c>
      <c r="G276" s="1">
        <v>118.9</v>
      </c>
      <c r="H276" s="1">
        <v>126</v>
      </c>
      <c r="I276" s="1">
        <v>111.8</v>
      </c>
      <c r="J276" s="1">
        <v>130.9</v>
      </c>
      <c r="K276" s="1">
        <v>128</v>
      </c>
      <c r="L276" s="1">
        <v>119.9</v>
      </c>
      <c r="M276" s="1">
        <v>98.9</v>
      </c>
      <c r="N276" s="1">
        <v>119.4</v>
      </c>
      <c r="O276" s="1">
        <v>118.9</v>
      </c>
      <c r="P276" s="1">
        <v>127.7</v>
      </c>
      <c r="Q276" s="1">
        <v>123.1</v>
      </c>
      <c r="R276" s="1">
        <v>124.7</v>
      </c>
      <c r="S276" s="1">
        <v>126</v>
      </c>
      <c r="T276" s="1">
        <v>122.9</v>
      </c>
      <c r="U276" s="1">
        <v>125.5</v>
      </c>
      <c r="V276" s="14">
        <f>VLOOKUP($D276,Notes!$B$2:$C$229,2,0)</f>
        <v>118.6</v>
      </c>
      <c r="W276" s="1">
        <v>120.6</v>
      </c>
      <c r="X276" s="1">
        <v>120.2</v>
      </c>
      <c r="Y276" s="1">
        <v>118.2</v>
      </c>
      <c r="Z276" s="1">
        <v>111.6</v>
      </c>
      <c r="AA276" s="1">
        <v>115.5</v>
      </c>
      <c r="AB276" s="1">
        <v>119.4</v>
      </c>
      <c r="AC276" s="1">
        <v>110.8</v>
      </c>
      <c r="AD276" s="1">
        <v>115.5</v>
      </c>
      <c r="AE276" s="1">
        <v>121.1</v>
      </c>
    </row>
    <row r="277" spans="1:31" x14ac:dyDescent="0.25">
      <c r="A277" s="1" t="s">
        <v>33</v>
      </c>
      <c r="B277" s="1">
        <v>2015</v>
      </c>
      <c r="C277" s="1" t="s">
        <v>38</v>
      </c>
      <c r="D277" s="1" t="s">
        <v>111</v>
      </c>
      <c r="E277" s="1">
        <v>123.8</v>
      </c>
      <c r="F277" s="1">
        <v>129.69999999999999</v>
      </c>
      <c r="G277" s="1">
        <v>111.3</v>
      </c>
      <c r="H277" s="1">
        <v>126.6</v>
      </c>
      <c r="I277" s="1">
        <v>105.2</v>
      </c>
      <c r="J277" s="1">
        <v>130.80000000000001</v>
      </c>
      <c r="K277" s="1">
        <v>135.6</v>
      </c>
      <c r="L277" s="1">
        <v>142.6</v>
      </c>
      <c r="M277" s="1">
        <v>90.8</v>
      </c>
      <c r="N277" s="1">
        <v>128.80000000000001</v>
      </c>
      <c r="O277" s="1">
        <v>117.7</v>
      </c>
      <c r="P277" s="1">
        <v>129.9</v>
      </c>
      <c r="Q277" s="1">
        <v>126.1</v>
      </c>
      <c r="R277" s="1">
        <v>131.30000000000001</v>
      </c>
      <c r="S277" s="1">
        <v>122.4</v>
      </c>
      <c r="T277" s="1">
        <v>117.4</v>
      </c>
      <c r="U277" s="1">
        <v>121.6</v>
      </c>
      <c r="V277" s="1">
        <v>119.6</v>
      </c>
      <c r="W277" s="1">
        <v>114.9</v>
      </c>
      <c r="X277" s="1">
        <v>118.7</v>
      </c>
      <c r="Y277" s="1">
        <v>114.9</v>
      </c>
      <c r="Z277" s="1">
        <v>110.8</v>
      </c>
      <c r="AA277" s="1">
        <v>116</v>
      </c>
      <c r="AB277" s="1">
        <v>122</v>
      </c>
      <c r="AC277" s="1">
        <v>112.4</v>
      </c>
      <c r="AD277" s="1">
        <v>115.2</v>
      </c>
      <c r="AE277" s="1">
        <v>120.7</v>
      </c>
    </row>
    <row r="278" spans="1:31" x14ac:dyDescent="0.25">
      <c r="A278" s="1" t="s">
        <v>33</v>
      </c>
      <c r="B278" s="1">
        <v>2016</v>
      </c>
      <c r="C278" s="1" t="s">
        <v>44</v>
      </c>
      <c r="D278" s="1" t="s">
        <v>129</v>
      </c>
      <c r="E278" s="1">
        <v>130.19999999999999</v>
      </c>
      <c r="F278" s="1">
        <v>138.5</v>
      </c>
      <c r="G278" s="1">
        <v>134.1</v>
      </c>
      <c r="H278" s="1">
        <v>132.9</v>
      </c>
      <c r="I278" s="1">
        <v>112.6</v>
      </c>
      <c r="J278" s="1">
        <v>130.80000000000001</v>
      </c>
      <c r="K278" s="1">
        <v>142</v>
      </c>
      <c r="L278" s="1">
        <v>174.9</v>
      </c>
      <c r="M278" s="1">
        <v>115.6</v>
      </c>
      <c r="N278" s="1">
        <v>145.4</v>
      </c>
      <c r="O278" s="1">
        <v>122.7</v>
      </c>
      <c r="P278" s="1">
        <v>140.30000000000001</v>
      </c>
      <c r="Q278" s="1">
        <v>135.19999999999999</v>
      </c>
      <c r="R278" s="1">
        <v>144.30000000000001</v>
      </c>
      <c r="S278" s="1">
        <v>129.6</v>
      </c>
      <c r="T278" s="1">
        <v>122.1</v>
      </c>
      <c r="U278" s="1">
        <v>128.5</v>
      </c>
      <c r="V278" s="1">
        <v>129.1</v>
      </c>
      <c r="W278" s="1">
        <v>116.2</v>
      </c>
      <c r="X278" s="1">
        <v>124.7</v>
      </c>
      <c r="Y278" s="1">
        <v>122.1</v>
      </c>
      <c r="Z278" s="1">
        <v>113.4</v>
      </c>
      <c r="AA278" s="1">
        <v>121.7</v>
      </c>
      <c r="AB278" s="1">
        <v>132.1</v>
      </c>
      <c r="AC278" s="1">
        <v>121.3</v>
      </c>
      <c r="AD278" s="1">
        <v>121.3</v>
      </c>
      <c r="AE278" s="1">
        <v>128.5</v>
      </c>
    </row>
    <row r="279" spans="1:31" x14ac:dyDescent="0.25">
      <c r="A279" s="1" t="s">
        <v>33</v>
      </c>
      <c r="B279" s="1">
        <v>2015</v>
      </c>
      <c r="C279" s="1" t="s">
        <v>37</v>
      </c>
      <c r="D279" s="1" t="s">
        <v>110</v>
      </c>
      <c r="E279" s="1">
        <v>123.8</v>
      </c>
      <c r="F279" s="1">
        <v>128.19999999999999</v>
      </c>
      <c r="G279" s="1">
        <v>110</v>
      </c>
      <c r="H279" s="1">
        <v>126.3</v>
      </c>
      <c r="I279" s="1">
        <v>104.5</v>
      </c>
      <c r="J279" s="1">
        <v>130.6</v>
      </c>
      <c r="K279" s="1">
        <v>130.80000000000001</v>
      </c>
      <c r="L279" s="1">
        <v>131.30000000000001</v>
      </c>
      <c r="M279" s="1">
        <v>91.6</v>
      </c>
      <c r="N279" s="1">
        <v>127.7</v>
      </c>
      <c r="O279" s="1">
        <v>117.2</v>
      </c>
      <c r="P279" s="1">
        <v>129.5</v>
      </c>
      <c r="Q279" s="1">
        <v>124.6</v>
      </c>
      <c r="R279" s="1">
        <v>130.1</v>
      </c>
      <c r="S279" s="1">
        <v>122.1</v>
      </c>
      <c r="T279" s="1">
        <v>117.2</v>
      </c>
      <c r="U279" s="1">
        <v>121.3</v>
      </c>
      <c r="V279" s="1">
        <v>119.2</v>
      </c>
      <c r="W279" s="1">
        <v>114.7</v>
      </c>
      <c r="X279" s="1">
        <v>118.4</v>
      </c>
      <c r="Y279" s="1">
        <v>114.6</v>
      </c>
      <c r="Z279" s="1">
        <v>108.4</v>
      </c>
      <c r="AA279" s="1">
        <v>115.6</v>
      </c>
      <c r="AB279" s="1">
        <v>121.7</v>
      </c>
      <c r="AC279" s="1">
        <v>111.8</v>
      </c>
      <c r="AD279" s="1">
        <v>114.2</v>
      </c>
      <c r="AE279" s="1">
        <v>119.7</v>
      </c>
    </row>
    <row r="280" spans="1:31" x14ac:dyDescent="0.25">
      <c r="A280" s="1" t="s">
        <v>30</v>
      </c>
      <c r="B280" s="1">
        <v>2015</v>
      </c>
      <c r="C280" s="1" t="s">
        <v>31</v>
      </c>
      <c r="D280" s="1" t="s">
        <v>107</v>
      </c>
      <c r="E280" s="1">
        <v>123.1</v>
      </c>
      <c r="F280" s="1">
        <v>123.1</v>
      </c>
      <c r="G280" s="1">
        <v>122.1</v>
      </c>
      <c r="H280" s="1">
        <v>124.9</v>
      </c>
      <c r="I280" s="1">
        <v>111</v>
      </c>
      <c r="J280" s="1">
        <v>130.4</v>
      </c>
      <c r="K280" s="1">
        <v>132.30000000000001</v>
      </c>
      <c r="L280" s="1">
        <v>117.2</v>
      </c>
      <c r="M280" s="1">
        <v>100.5</v>
      </c>
      <c r="N280" s="1">
        <v>117.2</v>
      </c>
      <c r="O280" s="1">
        <v>117.9</v>
      </c>
      <c r="P280" s="1">
        <v>125.6</v>
      </c>
      <c r="Q280" s="1">
        <v>122.8</v>
      </c>
      <c r="R280" s="1">
        <v>122.7</v>
      </c>
      <c r="S280" s="1">
        <v>124.4</v>
      </c>
      <c r="T280" s="1">
        <v>121.6</v>
      </c>
      <c r="U280" s="1">
        <v>124</v>
      </c>
      <c r="V280" s="14">
        <f>VLOOKUP($D280,Notes!$B$2:$C$229,2,0)</f>
        <v>117.3</v>
      </c>
      <c r="W280" s="1">
        <v>118.4</v>
      </c>
      <c r="X280" s="1">
        <v>118.9</v>
      </c>
      <c r="Y280" s="1">
        <v>116.6</v>
      </c>
      <c r="Z280" s="1">
        <v>111</v>
      </c>
      <c r="AA280" s="1">
        <v>114</v>
      </c>
      <c r="AB280" s="1">
        <v>118.2</v>
      </c>
      <c r="AC280" s="1">
        <v>110.2</v>
      </c>
      <c r="AD280" s="1">
        <v>114.5</v>
      </c>
      <c r="AE280" s="1">
        <v>120.3</v>
      </c>
    </row>
    <row r="281" spans="1:31" x14ac:dyDescent="0.25">
      <c r="A281" s="1" t="s">
        <v>30</v>
      </c>
      <c r="B281" s="1">
        <v>2016</v>
      </c>
      <c r="C281" s="1" t="s">
        <v>35</v>
      </c>
      <c r="D281" s="1" t="s">
        <v>120</v>
      </c>
      <c r="E281" s="1">
        <v>127.1</v>
      </c>
      <c r="F281" s="1">
        <v>133.69999999999999</v>
      </c>
      <c r="G281" s="1">
        <v>127.7</v>
      </c>
      <c r="H281" s="1">
        <v>130.69999999999999</v>
      </c>
      <c r="I281" s="1">
        <v>118.5</v>
      </c>
      <c r="J281" s="1">
        <v>130.4</v>
      </c>
      <c r="K281" s="1">
        <v>130.9</v>
      </c>
      <c r="L281" s="1">
        <v>162.80000000000001</v>
      </c>
      <c r="M281" s="1">
        <v>98.7</v>
      </c>
      <c r="N281" s="1">
        <v>130.6</v>
      </c>
      <c r="O281" s="1">
        <v>124.8</v>
      </c>
      <c r="P281" s="1">
        <v>136.4</v>
      </c>
      <c r="Q281" s="1">
        <v>130.30000000000001</v>
      </c>
      <c r="R281" s="1">
        <v>134.4</v>
      </c>
      <c r="S281" s="1">
        <v>133.9</v>
      </c>
      <c r="T281" s="1">
        <v>129.80000000000001</v>
      </c>
      <c r="U281" s="1">
        <v>133.4</v>
      </c>
      <c r="V281" s="14">
        <f>VLOOKUP($D281,Notes!$B$2:$C$229,2,0)</f>
        <v>124.4</v>
      </c>
      <c r="W281" s="1">
        <v>127.5</v>
      </c>
      <c r="X281" s="1">
        <v>127.1</v>
      </c>
      <c r="Y281" s="1">
        <v>124.3</v>
      </c>
      <c r="Z281" s="1">
        <v>113.9</v>
      </c>
      <c r="AA281" s="1">
        <v>122.3</v>
      </c>
      <c r="AB281" s="1">
        <v>127.1</v>
      </c>
      <c r="AC281" s="1">
        <v>116.8</v>
      </c>
      <c r="AD281" s="1">
        <v>120.9</v>
      </c>
      <c r="AE281" s="1">
        <v>127.9</v>
      </c>
    </row>
    <row r="282" spans="1:31" x14ac:dyDescent="0.25">
      <c r="A282" s="1" t="s">
        <v>33</v>
      </c>
      <c r="B282" s="1">
        <v>2016</v>
      </c>
      <c r="C282" s="1" t="s">
        <v>43</v>
      </c>
      <c r="D282" s="1" t="s">
        <v>128</v>
      </c>
      <c r="E282" s="1">
        <v>128.69999999999999</v>
      </c>
      <c r="F282" s="1">
        <v>138.4</v>
      </c>
      <c r="G282" s="1">
        <v>130.30000000000001</v>
      </c>
      <c r="H282" s="1">
        <v>132.69999999999999</v>
      </c>
      <c r="I282" s="1">
        <v>112.5</v>
      </c>
      <c r="J282" s="1">
        <v>130.4</v>
      </c>
      <c r="K282" s="1">
        <v>155.1</v>
      </c>
      <c r="L282" s="1">
        <v>175.7</v>
      </c>
      <c r="M282" s="1">
        <v>115.4</v>
      </c>
      <c r="N282" s="1">
        <v>145.30000000000001</v>
      </c>
      <c r="O282" s="1">
        <v>122.5</v>
      </c>
      <c r="P282" s="1">
        <v>139.6</v>
      </c>
      <c r="Q282" s="1">
        <v>136.30000000000001</v>
      </c>
      <c r="R282" s="1">
        <v>144.30000000000001</v>
      </c>
      <c r="S282" s="1">
        <v>129.1</v>
      </c>
      <c r="T282" s="1">
        <v>121.9</v>
      </c>
      <c r="U282" s="1">
        <v>128</v>
      </c>
      <c r="V282" s="1">
        <v>128.69999999999999</v>
      </c>
      <c r="W282" s="1">
        <v>115.2</v>
      </c>
      <c r="X282" s="1">
        <v>124.5</v>
      </c>
      <c r="Y282" s="1">
        <v>121.8</v>
      </c>
      <c r="Z282" s="1">
        <v>112.8</v>
      </c>
      <c r="AA282" s="1">
        <v>121.2</v>
      </c>
      <c r="AB282" s="1">
        <v>131.9</v>
      </c>
      <c r="AC282" s="1">
        <v>120.8</v>
      </c>
      <c r="AD282" s="1">
        <v>120.9</v>
      </c>
      <c r="AE282" s="1">
        <v>128.6</v>
      </c>
    </row>
    <row r="283" spans="1:31" x14ac:dyDescent="0.25">
      <c r="A283" s="1" t="s">
        <v>33</v>
      </c>
      <c r="B283" s="1">
        <v>2015</v>
      </c>
      <c r="C283" s="1" t="s">
        <v>41</v>
      </c>
      <c r="D283" s="1" t="s">
        <v>114</v>
      </c>
      <c r="E283" s="1">
        <v>123.1</v>
      </c>
      <c r="F283" s="1">
        <v>131.69999999999999</v>
      </c>
      <c r="G283" s="1">
        <v>118.1</v>
      </c>
      <c r="H283" s="1">
        <v>128</v>
      </c>
      <c r="I283" s="1">
        <v>106.8</v>
      </c>
      <c r="J283" s="1">
        <v>130.1</v>
      </c>
      <c r="K283" s="1">
        <v>165.5</v>
      </c>
      <c r="L283" s="1">
        <v>156</v>
      </c>
      <c r="M283" s="1">
        <v>85.3</v>
      </c>
      <c r="N283" s="1">
        <v>132.69999999999999</v>
      </c>
      <c r="O283" s="1">
        <v>118.8</v>
      </c>
      <c r="P283" s="1">
        <v>131.69999999999999</v>
      </c>
      <c r="Q283" s="1">
        <v>131.1</v>
      </c>
      <c r="R283" s="1">
        <v>134.19999999999999</v>
      </c>
      <c r="S283" s="1">
        <v>123.7</v>
      </c>
      <c r="T283" s="1">
        <v>118.2</v>
      </c>
      <c r="U283" s="1">
        <v>122.9</v>
      </c>
      <c r="V283" s="1">
        <v>120.9</v>
      </c>
      <c r="W283" s="1">
        <v>115.3</v>
      </c>
      <c r="X283" s="1">
        <v>120</v>
      </c>
      <c r="Y283" s="1">
        <v>116.6</v>
      </c>
      <c r="Z283" s="1">
        <v>109.9</v>
      </c>
      <c r="AA283" s="1">
        <v>117.2</v>
      </c>
      <c r="AB283" s="1">
        <v>126.2</v>
      </c>
      <c r="AC283" s="1">
        <v>112</v>
      </c>
      <c r="AD283" s="1">
        <v>116.2</v>
      </c>
      <c r="AE283" s="1">
        <v>123.2</v>
      </c>
    </row>
    <row r="284" spans="1:31" x14ac:dyDescent="0.25">
      <c r="A284" s="1" t="s">
        <v>30</v>
      </c>
      <c r="B284" s="1">
        <v>2014</v>
      </c>
      <c r="C284" s="1" t="s">
        <v>42</v>
      </c>
      <c r="D284" s="1" t="s">
        <v>103</v>
      </c>
      <c r="E284" s="1">
        <v>122.3</v>
      </c>
      <c r="F284" s="1">
        <v>122.4</v>
      </c>
      <c r="G284" s="1">
        <v>117.8</v>
      </c>
      <c r="H284" s="1">
        <v>122.7</v>
      </c>
      <c r="I284" s="1">
        <v>110.4</v>
      </c>
      <c r="J284" s="1">
        <v>129.80000000000001</v>
      </c>
      <c r="K284" s="1">
        <v>158.80000000000001</v>
      </c>
      <c r="L284" s="1">
        <v>115</v>
      </c>
      <c r="M284" s="1">
        <v>104.7</v>
      </c>
      <c r="N284" s="1">
        <v>114.9</v>
      </c>
      <c r="O284" s="1">
        <v>116.5</v>
      </c>
      <c r="P284" s="1">
        <v>122.6</v>
      </c>
      <c r="Q284" s="1">
        <v>125.3</v>
      </c>
      <c r="R284" s="1">
        <v>119.5</v>
      </c>
      <c r="S284" s="1">
        <v>121.7</v>
      </c>
      <c r="T284" s="1">
        <v>119.2</v>
      </c>
      <c r="U284" s="1">
        <v>121.3</v>
      </c>
      <c r="V284" s="14">
        <v>116.1</v>
      </c>
      <c r="W284" s="1">
        <v>115.8</v>
      </c>
      <c r="X284" s="1">
        <v>116.7</v>
      </c>
      <c r="Y284" s="1">
        <v>114.5</v>
      </c>
      <c r="Z284" s="1">
        <v>112.8</v>
      </c>
      <c r="AA284" s="1">
        <v>112.6</v>
      </c>
      <c r="AB284" s="1">
        <v>116.6</v>
      </c>
      <c r="AC284" s="1">
        <v>109.1</v>
      </c>
      <c r="AD284" s="1">
        <v>113.7</v>
      </c>
      <c r="AE284" s="1">
        <v>120.9</v>
      </c>
    </row>
    <row r="285" spans="1:31" x14ac:dyDescent="0.25">
      <c r="A285" s="1" t="s">
        <v>30</v>
      </c>
      <c r="B285" s="1">
        <v>2014</v>
      </c>
      <c r="C285" s="1" t="s">
        <v>41</v>
      </c>
      <c r="D285" s="1" t="s">
        <v>102</v>
      </c>
      <c r="E285" s="1">
        <v>121.8</v>
      </c>
      <c r="F285" s="1">
        <v>122.8</v>
      </c>
      <c r="G285" s="1">
        <v>117.8</v>
      </c>
      <c r="H285" s="1">
        <v>121.9</v>
      </c>
      <c r="I285" s="1">
        <v>110.6</v>
      </c>
      <c r="J285" s="1">
        <v>129.69999999999999</v>
      </c>
      <c r="K285" s="1">
        <v>161.1</v>
      </c>
      <c r="L285" s="1">
        <v>114.1</v>
      </c>
      <c r="M285" s="1">
        <v>105.1</v>
      </c>
      <c r="N285" s="1">
        <v>114.6</v>
      </c>
      <c r="O285" s="1">
        <v>115.8</v>
      </c>
      <c r="P285" s="1">
        <v>121.7</v>
      </c>
      <c r="Q285" s="1">
        <v>125.3</v>
      </c>
      <c r="R285" s="1">
        <v>118.8</v>
      </c>
      <c r="S285" s="1">
        <v>120.9</v>
      </c>
      <c r="T285" s="1">
        <v>118.8</v>
      </c>
      <c r="U285" s="1">
        <v>120.7</v>
      </c>
      <c r="V285" s="14">
        <v>115.5</v>
      </c>
      <c r="W285" s="1">
        <v>115.4</v>
      </c>
      <c r="X285" s="1">
        <v>115.9</v>
      </c>
      <c r="Y285" s="1">
        <v>114</v>
      </c>
      <c r="Z285" s="1">
        <v>113.2</v>
      </c>
      <c r="AA285" s="1">
        <v>112.2</v>
      </c>
      <c r="AB285" s="1">
        <v>116.2</v>
      </c>
      <c r="AC285" s="1">
        <v>109.4</v>
      </c>
      <c r="AD285" s="1">
        <v>113.5</v>
      </c>
      <c r="AE285" s="1">
        <v>120.7</v>
      </c>
    </row>
    <row r="286" spans="1:31" x14ac:dyDescent="0.25">
      <c r="A286" s="1" t="s">
        <v>33</v>
      </c>
      <c r="B286" s="1">
        <v>2017</v>
      </c>
      <c r="C286" s="1" t="s">
        <v>31</v>
      </c>
      <c r="D286" s="1" t="s">
        <v>131</v>
      </c>
      <c r="E286" s="1">
        <v>132.19999999999999</v>
      </c>
      <c r="F286" s="1">
        <v>138.9</v>
      </c>
      <c r="G286" s="1">
        <v>132.6</v>
      </c>
      <c r="H286" s="1">
        <v>133.1</v>
      </c>
      <c r="I286" s="1">
        <v>114</v>
      </c>
      <c r="J286" s="1">
        <v>129.6</v>
      </c>
      <c r="K286" s="1">
        <v>118.7</v>
      </c>
      <c r="L286" s="1">
        <v>155.1</v>
      </c>
      <c r="M286" s="1">
        <v>117.3</v>
      </c>
      <c r="N286" s="1">
        <v>144.9</v>
      </c>
      <c r="O286" s="1">
        <v>123.2</v>
      </c>
      <c r="P286" s="1">
        <v>141.6</v>
      </c>
      <c r="Q286" s="1">
        <v>132</v>
      </c>
      <c r="R286" s="1">
        <v>145.6</v>
      </c>
      <c r="S286" s="1">
        <v>130.19999999999999</v>
      </c>
      <c r="T286" s="1">
        <v>122.3</v>
      </c>
      <c r="U286" s="1">
        <v>129</v>
      </c>
      <c r="V286" s="1">
        <v>129.6</v>
      </c>
      <c r="W286" s="1">
        <v>118</v>
      </c>
      <c r="X286" s="1">
        <v>125.1</v>
      </c>
      <c r="Y286" s="1">
        <v>122.6</v>
      </c>
      <c r="Z286" s="1">
        <v>115.2</v>
      </c>
      <c r="AA286" s="1">
        <v>122</v>
      </c>
      <c r="AB286" s="1">
        <v>132.4</v>
      </c>
      <c r="AC286" s="1">
        <v>120.9</v>
      </c>
      <c r="AD286" s="1">
        <v>122.1</v>
      </c>
      <c r="AE286" s="1">
        <v>127.8</v>
      </c>
    </row>
    <row r="287" spans="1:31" x14ac:dyDescent="0.25">
      <c r="A287" s="1" t="s">
        <v>30</v>
      </c>
      <c r="B287" s="1">
        <v>2015</v>
      </c>
      <c r="C287" s="1" t="s">
        <v>35</v>
      </c>
      <c r="D287" s="1" t="s">
        <v>108</v>
      </c>
      <c r="E287" s="1">
        <v>123.4</v>
      </c>
      <c r="F287" s="1">
        <v>124.4</v>
      </c>
      <c r="G287" s="1">
        <v>122.1</v>
      </c>
      <c r="H287" s="1">
        <v>125.8</v>
      </c>
      <c r="I287" s="1">
        <v>111.5</v>
      </c>
      <c r="J287" s="1">
        <v>129.4</v>
      </c>
      <c r="K287" s="1">
        <v>128.19999999999999</v>
      </c>
      <c r="L287" s="1">
        <v>118.8</v>
      </c>
      <c r="M287" s="1">
        <v>100</v>
      </c>
      <c r="N287" s="1">
        <v>118.6</v>
      </c>
      <c r="O287" s="1">
        <v>118.8</v>
      </c>
      <c r="P287" s="1">
        <v>126.8</v>
      </c>
      <c r="Q287" s="1">
        <v>122.8</v>
      </c>
      <c r="R287" s="1">
        <v>124.2</v>
      </c>
      <c r="S287" s="1">
        <v>125.4</v>
      </c>
      <c r="T287" s="1">
        <v>122.7</v>
      </c>
      <c r="U287" s="1">
        <v>125</v>
      </c>
      <c r="V287" s="14">
        <f>VLOOKUP($D287,Notes!$B$2:$C$229,2,0)</f>
        <v>118.1</v>
      </c>
      <c r="W287" s="1">
        <v>120</v>
      </c>
      <c r="X287" s="1">
        <v>119.6</v>
      </c>
      <c r="Y287" s="1">
        <v>117.7</v>
      </c>
      <c r="Z287" s="1">
        <v>110.9</v>
      </c>
      <c r="AA287" s="1">
        <v>114.8</v>
      </c>
      <c r="AB287" s="1">
        <v>118.7</v>
      </c>
      <c r="AC287" s="1">
        <v>110.8</v>
      </c>
      <c r="AD287" s="1">
        <v>115</v>
      </c>
      <c r="AE287" s="1">
        <v>120.6</v>
      </c>
    </row>
    <row r="288" spans="1:31" x14ac:dyDescent="0.25">
      <c r="A288" s="1" t="s">
        <v>33</v>
      </c>
      <c r="B288" s="1">
        <v>2016</v>
      </c>
      <c r="C288" s="1" t="s">
        <v>45</v>
      </c>
      <c r="D288" s="1" t="s">
        <v>130</v>
      </c>
      <c r="E288" s="1">
        <v>131.6</v>
      </c>
      <c r="F288" s="1">
        <v>138.19999999999999</v>
      </c>
      <c r="G288" s="1">
        <v>134.9</v>
      </c>
      <c r="H288" s="1">
        <v>133.1</v>
      </c>
      <c r="I288" s="1">
        <v>113.5</v>
      </c>
      <c r="J288" s="1">
        <v>129.30000000000001</v>
      </c>
      <c r="K288" s="1">
        <v>121.1</v>
      </c>
      <c r="L288" s="1">
        <v>170.3</v>
      </c>
      <c r="M288" s="1">
        <v>115.5</v>
      </c>
      <c r="N288" s="1">
        <v>145.5</v>
      </c>
      <c r="O288" s="1">
        <v>123.1</v>
      </c>
      <c r="P288" s="1">
        <v>140.9</v>
      </c>
      <c r="Q288" s="1">
        <v>132.80000000000001</v>
      </c>
      <c r="R288" s="1">
        <v>145</v>
      </c>
      <c r="S288" s="1">
        <v>130</v>
      </c>
      <c r="T288" s="1">
        <v>122.2</v>
      </c>
      <c r="U288" s="1">
        <v>128.80000000000001</v>
      </c>
      <c r="V288" s="1">
        <v>128.5</v>
      </c>
      <c r="W288" s="1">
        <v>117.8</v>
      </c>
      <c r="X288" s="1">
        <v>125</v>
      </c>
      <c r="Y288" s="1">
        <v>122.3</v>
      </c>
      <c r="Z288" s="1">
        <v>113.7</v>
      </c>
      <c r="AA288" s="1">
        <v>121.8</v>
      </c>
      <c r="AB288" s="1">
        <v>132.30000000000001</v>
      </c>
      <c r="AC288" s="1">
        <v>119.9</v>
      </c>
      <c r="AD288" s="1">
        <v>121.4</v>
      </c>
      <c r="AE288" s="1">
        <v>127.6</v>
      </c>
    </row>
    <row r="289" spans="1:31" x14ac:dyDescent="0.25">
      <c r="A289" s="1" t="s">
        <v>33</v>
      </c>
      <c r="B289" s="1">
        <v>2014</v>
      </c>
      <c r="C289" s="1" t="s">
        <v>38</v>
      </c>
      <c r="D289" s="1" t="s">
        <v>99</v>
      </c>
      <c r="E289" s="1">
        <v>122.7</v>
      </c>
      <c r="F289" s="1">
        <v>124.1</v>
      </c>
      <c r="G289" s="1">
        <v>114.2</v>
      </c>
      <c r="H289" s="1">
        <v>119.1</v>
      </c>
      <c r="I289" s="1">
        <v>103.5</v>
      </c>
      <c r="J289" s="1">
        <v>129.19999999999999</v>
      </c>
      <c r="K289" s="1">
        <v>127</v>
      </c>
      <c r="L289" s="1">
        <v>112.6</v>
      </c>
      <c r="M289" s="1">
        <v>101.3</v>
      </c>
      <c r="N289" s="1">
        <v>117</v>
      </c>
      <c r="O289" s="1">
        <v>112.9</v>
      </c>
      <c r="P289" s="1">
        <v>121.7</v>
      </c>
      <c r="Q289" s="1">
        <v>120</v>
      </c>
      <c r="R289" s="1">
        <v>118.3</v>
      </c>
      <c r="S289" s="1">
        <v>116.8</v>
      </c>
      <c r="T289" s="1">
        <v>112.9</v>
      </c>
      <c r="U289" s="1">
        <v>116.2</v>
      </c>
      <c r="V289" s="1">
        <v>114.3</v>
      </c>
      <c r="W289" s="1">
        <v>111.1</v>
      </c>
      <c r="X289" s="1">
        <v>114.1</v>
      </c>
      <c r="Y289" s="1">
        <v>111.2</v>
      </c>
      <c r="Z289" s="1">
        <v>111.3</v>
      </c>
      <c r="AA289" s="1">
        <v>111.5</v>
      </c>
      <c r="AB289" s="1">
        <v>112.9</v>
      </c>
      <c r="AC289" s="1">
        <v>109.3</v>
      </c>
      <c r="AD289" s="1">
        <v>111.7</v>
      </c>
      <c r="AE289" s="1">
        <v>115.6</v>
      </c>
    </row>
    <row r="290" spans="1:31" x14ac:dyDescent="0.25">
      <c r="A290" s="1" t="s">
        <v>30</v>
      </c>
      <c r="B290" s="1">
        <v>2014</v>
      </c>
      <c r="C290" s="1" t="s">
        <v>40</v>
      </c>
      <c r="D290" s="1" t="s">
        <v>101</v>
      </c>
      <c r="E290" s="1">
        <v>121.7</v>
      </c>
      <c r="F290" s="1">
        <v>122.5</v>
      </c>
      <c r="G290" s="1">
        <v>117.7</v>
      </c>
      <c r="H290" s="1">
        <v>120.6</v>
      </c>
      <c r="I290" s="1">
        <v>110.4</v>
      </c>
      <c r="J290" s="1">
        <v>129.1</v>
      </c>
      <c r="K290" s="1">
        <v>150.1</v>
      </c>
      <c r="L290" s="1">
        <v>113.2</v>
      </c>
      <c r="M290" s="1">
        <v>104.8</v>
      </c>
      <c r="N290" s="1">
        <v>113.3</v>
      </c>
      <c r="O290" s="1">
        <v>115.6</v>
      </c>
      <c r="P290" s="1">
        <v>120.9</v>
      </c>
      <c r="Q290" s="1">
        <v>123.3</v>
      </c>
      <c r="R290" s="1">
        <v>118</v>
      </c>
      <c r="S290" s="1">
        <v>120.7</v>
      </c>
      <c r="T290" s="1">
        <v>118.3</v>
      </c>
      <c r="U290" s="1">
        <v>120.3</v>
      </c>
      <c r="V290" s="14">
        <v>114.8</v>
      </c>
      <c r="W290" s="1">
        <v>115.3</v>
      </c>
      <c r="X290" s="1">
        <v>115.4</v>
      </c>
      <c r="Y290" s="1">
        <v>113.4</v>
      </c>
      <c r="Z290" s="1">
        <v>113.2</v>
      </c>
      <c r="AA290" s="1">
        <v>111.8</v>
      </c>
      <c r="AB290" s="1">
        <v>115.5</v>
      </c>
      <c r="AC290" s="1">
        <v>108.8</v>
      </c>
      <c r="AD290" s="1">
        <v>113.1</v>
      </c>
      <c r="AE290" s="1">
        <v>119.5</v>
      </c>
    </row>
    <row r="291" spans="1:31" x14ac:dyDescent="0.25">
      <c r="A291" s="1" t="s">
        <v>34</v>
      </c>
      <c r="B291" s="1">
        <v>2015</v>
      </c>
      <c r="C291" s="1" t="s">
        <v>43</v>
      </c>
      <c r="D291" s="1" t="s">
        <v>116</v>
      </c>
      <c r="E291" s="1">
        <v>125</v>
      </c>
      <c r="F291" s="1">
        <v>129.80000000000001</v>
      </c>
      <c r="G291" s="1">
        <v>118.9</v>
      </c>
      <c r="H291" s="1">
        <v>129.1</v>
      </c>
      <c r="I291" s="1">
        <v>113.3</v>
      </c>
      <c r="J291" s="1">
        <v>129</v>
      </c>
      <c r="K291" s="1">
        <v>160.4</v>
      </c>
      <c r="L291" s="1">
        <v>165.3</v>
      </c>
      <c r="M291" s="1">
        <v>92.3</v>
      </c>
      <c r="N291" s="1">
        <v>129.69999999999999</v>
      </c>
      <c r="O291" s="1">
        <v>121.1</v>
      </c>
      <c r="P291" s="1">
        <v>133</v>
      </c>
      <c r="Q291" s="1">
        <v>132.1</v>
      </c>
      <c r="R291" s="1">
        <v>132.5</v>
      </c>
      <c r="S291" s="1">
        <v>128.5</v>
      </c>
      <c r="T291" s="1">
        <v>123.8</v>
      </c>
      <c r="U291" s="1">
        <v>127.8</v>
      </c>
      <c r="V291" s="1">
        <v>122.4</v>
      </c>
      <c r="W291" s="1">
        <v>120.8</v>
      </c>
      <c r="X291" s="1">
        <v>123</v>
      </c>
      <c r="Y291" s="1">
        <v>120.4</v>
      </c>
      <c r="Z291" s="1">
        <v>111.4</v>
      </c>
      <c r="AA291" s="1">
        <v>118.7</v>
      </c>
      <c r="AB291" s="1">
        <v>125.9</v>
      </c>
      <c r="AC291" s="1">
        <v>113.9</v>
      </c>
      <c r="AD291" s="1">
        <v>117.9</v>
      </c>
      <c r="AE291" s="1">
        <v>126.1</v>
      </c>
    </row>
    <row r="292" spans="1:31" x14ac:dyDescent="0.25">
      <c r="A292" s="1" t="s">
        <v>30</v>
      </c>
      <c r="B292" s="1">
        <v>2014</v>
      </c>
      <c r="C292" s="1" t="s">
        <v>43</v>
      </c>
      <c r="D292" s="1" t="s">
        <v>104</v>
      </c>
      <c r="E292" s="1">
        <v>122.6</v>
      </c>
      <c r="F292" s="1">
        <v>122.5</v>
      </c>
      <c r="G292" s="1">
        <v>118.3</v>
      </c>
      <c r="H292" s="1">
        <v>123.2</v>
      </c>
      <c r="I292" s="1">
        <v>110.5</v>
      </c>
      <c r="J292" s="1">
        <v>128.9</v>
      </c>
      <c r="K292" s="1">
        <v>155.30000000000001</v>
      </c>
      <c r="L292" s="1">
        <v>115.5</v>
      </c>
      <c r="M292" s="1">
        <v>104</v>
      </c>
      <c r="N292" s="1">
        <v>115.3</v>
      </c>
      <c r="O292" s="1">
        <v>116.8</v>
      </c>
      <c r="P292" s="1">
        <v>123.2</v>
      </c>
      <c r="Q292" s="1">
        <v>125.1</v>
      </c>
      <c r="R292" s="1">
        <v>120</v>
      </c>
      <c r="S292" s="1">
        <v>122.7</v>
      </c>
      <c r="T292" s="1">
        <v>120.3</v>
      </c>
      <c r="U292" s="1">
        <v>122.3</v>
      </c>
      <c r="V292" s="14">
        <v>116.7</v>
      </c>
      <c r="W292" s="1">
        <v>116.4</v>
      </c>
      <c r="X292" s="1">
        <v>117.5</v>
      </c>
      <c r="Y292" s="1">
        <v>115.3</v>
      </c>
      <c r="Z292" s="1">
        <v>112.6</v>
      </c>
      <c r="AA292" s="1">
        <v>113</v>
      </c>
      <c r="AB292" s="1">
        <v>116.9</v>
      </c>
      <c r="AC292" s="1">
        <v>109.3</v>
      </c>
      <c r="AD292" s="1">
        <v>114</v>
      </c>
      <c r="AE292" s="1">
        <v>121</v>
      </c>
    </row>
    <row r="293" spans="1:31" x14ac:dyDescent="0.25">
      <c r="A293" s="1" t="s">
        <v>30</v>
      </c>
      <c r="B293" s="1">
        <v>2014</v>
      </c>
      <c r="C293" s="1" t="s">
        <v>44</v>
      </c>
      <c r="D293" s="1" t="s">
        <v>105</v>
      </c>
      <c r="E293" s="1">
        <v>122.7</v>
      </c>
      <c r="F293" s="1">
        <v>122.6</v>
      </c>
      <c r="G293" s="1">
        <v>119.9</v>
      </c>
      <c r="H293" s="1">
        <v>124</v>
      </c>
      <c r="I293" s="1">
        <v>110.5</v>
      </c>
      <c r="J293" s="1">
        <v>128.80000000000001</v>
      </c>
      <c r="K293" s="1">
        <v>152</v>
      </c>
      <c r="L293" s="1">
        <v>116.2</v>
      </c>
      <c r="M293" s="1">
        <v>103.3</v>
      </c>
      <c r="N293" s="1">
        <v>115.8</v>
      </c>
      <c r="O293" s="1">
        <v>116.8</v>
      </c>
      <c r="P293" s="1">
        <v>124.5</v>
      </c>
      <c r="Q293" s="1">
        <v>124.9</v>
      </c>
      <c r="R293" s="1">
        <v>120.8</v>
      </c>
      <c r="S293" s="1">
        <v>123.3</v>
      </c>
      <c r="T293" s="1">
        <v>120.5</v>
      </c>
      <c r="U293" s="1">
        <v>122.9</v>
      </c>
      <c r="V293" s="14">
        <f>VLOOKUP($D293,Notes!$B$2:$C$229,2,0)</f>
        <v>117.1</v>
      </c>
      <c r="W293" s="1">
        <v>117.3</v>
      </c>
      <c r="X293" s="1">
        <v>118.1</v>
      </c>
      <c r="Y293" s="1">
        <v>115.9</v>
      </c>
      <c r="Z293" s="1">
        <v>112</v>
      </c>
      <c r="AA293" s="1">
        <v>113.3</v>
      </c>
      <c r="AB293" s="1">
        <v>117.2</v>
      </c>
      <c r="AC293" s="1">
        <v>108.8</v>
      </c>
      <c r="AD293" s="1">
        <v>114.1</v>
      </c>
      <c r="AE293" s="1">
        <v>121.1</v>
      </c>
    </row>
    <row r="294" spans="1:31" x14ac:dyDescent="0.25">
      <c r="A294" s="1" t="s">
        <v>30</v>
      </c>
      <c r="B294" s="1">
        <v>2014</v>
      </c>
      <c r="C294" s="1" t="s">
        <v>45</v>
      </c>
      <c r="D294" s="1" t="s">
        <v>106</v>
      </c>
      <c r="E294" s="1">
        <v>122.4</v>
      </c>
      <c r="F294" s="1">
        <v>122.4</v>
      </c>
      <c r="G294" s="1">
        <v>121.8</v>
      </c>
      <c r="H294" s="1">
        <v>124.2</v>
      </c>
      <c r="I294" s="1">
        <v>110.2</v>
      </c>
      <c r="J294" s="1">
        <v>128.6</v>
      </c>
      <c r="K294" s="1">
        <v>140.30000000000001</v>
      </c>
      <c r="L294" s="1">
        <v>116.3</v>
      </c>
      <c r="M294" s="1">
        <v>102</v>
      </c>
      <c r="N294" s="1">
        <v>116</v>
      </c>
      <c r="O294" s="1">
        <v>117.3</v>
      </c>
      <c r="P294" s="1">
        <v>124.8</v>
      </c>
      <c r="Q294" s="1">
        <v>123.3</v>
      </c>
      <c r="R294" s="1">
        <v>121.7</v>
      </c>
      <c r="S294" s="1">
        <v>123.8</v>
      </c>
      <c r="T294" s="1">
        <v>120.6</v>
      </c>
      <c r="U294" s="1">
        <v>123.3</v>
      </c>
      <c r="V294" s="14">
        <f>VLOOKUP($D294,Notes!$B$2:$C$229,2,0)</f>
        <v>116.5</v>
      </c>
      <c r="W294" s="1">
        <v>117.4</v>
      </c>
      <c r="X294" s="1">
        <v>118.2</v>
      </c>
      <c r="Y294" s="1">
        <v>116.2</v>
      </c>
      <c r="Z294" s="1">
        <v>111.5</v>
      </c>
      <c r="AA294" s="1">
        <v>113.3</v>
      </c>
      <c r="AB294" s="1">
        <v>117.7</v>
      </c>
      <c r="AC294" s="1">
        <v>109.4</v>
      </c>
      <c r="AD294" s="1">
        <v>114.2</v>
      </c>
      <c r="AE294" s="1">
        <v>120.3</v>
      </c>
    </row>
    <row r="295" spans="1:31" x14ac:dyDescent="0.25">
      <c r="A295" s="1" t="s">
        <v>34</v>
      </c>
      <c r="B295" s="1">
        <v>2015</v>
      </c>
      <c r="C295" s="1" t="s">
        <v>42</v>
      </c>
      <c r="D295" s="1" t="s">
        <v>115</v>
      </c>
      <c r="E295" s="1">
        <v>124.6</v>
      </c>
      <c r="F295" s="1">
        <v>130.4</v>
      </c>
      <c r="G295" s="1">
        <v>118.7</v>
      </c>
      <c r="H295" s="1">
        <v>128.9</v>
      </c>
      <c r="I295" s="1">
        <v>111.9</v>
      </c>
      <c r="J295" s="1">
        <v>128.4</v>
      </c>
      <c r="K295" s="1">
        <v>162.19999999999999</v>
      </c>
      <c r="L295" s="1">
        <v>150</v>
      </c>
      <c r="M295" s="1">
        <v>90.4</v>
      </c>
      <c r="N295" s="1">
        <v>128.4</v>
      </c>
      <c r="O295" s="1">
        <v>120.7</v>
      </c>
      <c r="P295" s="1">
        <v>132.5</v>
      </c>
      <c r="Q295" s="1">
        <v>131.19999999999999</v>
      </c>
      <c r="R295" s="1">
        <v>132</v>
      </c>
      <c r="S295" s="1">
        <v>127.9</v>
      </c>
      <c r="T295" s="1">
        <v>123.4</v>
      </c>
      <c r="U295" s="1">
        <v>127.2</v>
      </c>
      <c r="V295" s="1">
        <v>121.6</v>
      </c>
      <c r="W295" s="1">
        <v>120.4</v>
      </c>
      <c r="X295" s="1">
        <v>122.6</v>
      </c>
      <c r="Y295" s="1">
        <v>119.8</v>
      </c>
      <c r="Z295" s="1">
        <v>111.3</v>
      </c>
      <c r="AA295" s="1">
        <v>118.3</v>
      </c>
      <c r="AB295" s="1">
        <v>125.7</v>
      </c>
      <c r="AC295" s="1">
        <v>113.4</v>
      </c>
      <c r="AD295" s="1">
        <v>117.5</v>
      </c>
      <c r="AE295" s="1">
        <v>125.4</v>
      </c>
    </row>
    <row r="296" spans="1:31" x14ac:dyDescent="0.25">
      <c r="A296" s="1" t="s">
        <v>34</v>
      </c>
      <c r="B296" s="1">
        <v>2014</v>
      </c>
      <c r="C296" s="1" t="s">
        <v>39</v>
      </c>
      <c r="D296" s="1" t="s">
        <v>100</v>
      </c>
      <c r="E296" s="1">
        <v>121.5</v>
      </c>
      <c r="F296" s="1">
        <v>123.1</v>
      </c>
      <c r="G296" s="1">
        <v>115.8</v>
      </c>
      <c r="H296" s="1">
        <v>119.7</v>
      </c>
      <c r="I296" s="1">
        <v>107.8</v>
      </c>
      <c r="J296" s="1">
        <v>128.30000000000001</v>
      </c>
      <c r="K296" s="1">
        <v>132.1</v>
      </c>
      <c r="L296" s="1">
        <v>112.4</v>
      </c>
      <c r="M296" s="1">
        <v>102.9</v>
      </c>
      <c r="N296" s="1">
        <v>114.3</v>
      </c>
      <c r="O296" s="1">
        <v>114.2</v>
      </c>
      <c r="P296" s="1">
        <v>121.2</v>
      </c>
      <c r="Q296" s="1">
        <v>120.4</v>
      </c>
      <c r="R296" s="1">
        <v>117.8</v>
      </c>
      <c r="S296" s="1">
        <v>118.8</v>
      </c>
      <c r="T296" s="1">
        <v>115.6</v>
      </c>
      <c r="U296" s="1">
        <v>118.3</v>
      </c>
      <c r="V296" s="1">
        <v>113.9</v>
      </c>
      <c r="W296" s="1">
        <v>113.2</v>
      </c>
      <c r="X296" s="1">
        <v>114.6</v>
      </c>
      <c r="Y296" s="1">
        <v>112.3</v>
      </c>
      <c r="Z296" s="1">
        <v>111.8</v>
      </c>
      <c r="AA296" s="1">
        <v>111.6</v>
      </c>
      <c r="AB296" s="1">
        <v>114.8</v>
      </c>
      <c r="AC296" s="1">
        <v>108.3</v>
      </c>
      <c r="AD296" s="1">
        <v>112.3</v>
      </c>
      <c r="AE296" s="1">
        <v>116.7</v>
      </c>
    </row>
    <row r="297" spans="1:31" x14ac:dyDescent="0.25">
      <c r="A297" s="1" t="s">
        <v>34</v>
      </c>
      <c r="B297" s="1">
        <v>2015</v>
      </c>
      <c r="C297" s="1" t="s">
        <v>44</v>
      </c>
      <c r="D297" s="1" t="s">
        <v>117</v>
      </c>
      <c r="E297" s="1">
        <v>125.4</v>
      </c>
      <c r="F297" s="1">
        <v>130.30000000000001</v>
      </c>
      <c r="G297" s="1">
        <v>121.6</v>
      </c>
      <c r="H297" s="1">
        <v>129.19999999999999</v>
      </c>
      <c r="I297" s="1">
        <v>114.9</v>
      </c>
      <c r="J297" s="1">
        <v>128.19999999999999</v>
      </c>
      <c r="K297" s="1">
        <v>158.4</v>
      </c>
      <c r="L297" s="1">
        <v>171.2</v>
      </c>
      <c r="M297" s="1">
        <v>93.3</v>
      </c>
      <c r="N297" s="1">
        <v>131.19999999999999</v>
      </c>
      <c r="O297" s="1">
        <v>121.7</v>
      </c>
      <c r="P297" s="1">
        <v>134</v>
      </c>
      <c r="Q297" s="1">
        <v>132.69999999999999</v>
      </c>
      <c r="R297" s="1">
        <v>133.6</v>
      </c>
      <c r="S297" s="1">
        <v>129.30000000000001</v>
      </c>
      <c r="T297" s="1">
        <v>124.5</v>
      </c>
      <c r="U297" s="1">
        <v>128.6</v>
      </c>
      <c r="V297" s="1">
        <v>122.9</v>
      </c>
      <c r="W297" s="1">
        <v>121.6</v>
      </c>
      <c r="X297" s="1">
        <v>123.4</v>
      </c>
      <c r="Y297" s="1">
        <v>120.9</v>
      </c>
      <c r="Z297" s="1">
        <v>111.5</v>
      </c>
      <c r="AA297" s="1">
        <v>119.2</v>
      </c>
      <c r="AB297" s="1">
        <v>126.3</v>
      </c>
      <c r="AC297" s="1">
        <v>113.8</v>
      </c>
      <c r="AD297" s="1">
        <v>118.1</v>
      </c>
      <c r="AE297" s="1">
        <v>126.6</v>
      </c>
    </row>
    <row r="298" spans="1:31" x14ac:dyDescent="0.25">
      <c r="A298" s="1" t="s">
        <v>34</v>
      </c>
      <c r="B298" s="1">
        <v>2014</v>
      </c>
      <c r="C298" s="1" t="s">
        <v>38</v>
      </c>
      <c r="D298" s="1" t="s">
        <v>99</v>
      </c>
      <c r="E298" s="1">
        <v>121.1</v>
      </c>
      <c r="F298" s="1">
        <v>121.6</v>
      </c>
      <c r="G298" s="1">
        <v>115.9</v>
      </c>
      <c r="H298" s="1">
        <v>118.4</v>
      </c>
      <c r="I298" s="1">
        <v>107.7</v>
      </c>
      <c r="J298" s="1">
        <v>127.7</v>
      </c>
      <c r="K298" s="1">
        <v>125</v>
      </c>
      <c r="L298" s="1">
        <v>111.9</v>
      </c>
      <c r="M298" s="1">
        <v>102.8</v>
      </c>
      <c r="N298" s="1">
        <v>113.4</v>
      </c>
      <c r="O298" s="1">
        <v>113.7</v>
      </c>
      <c r="P298" s="1">
        <v>120.4</v>
      </c>
      <c r="Q298" s="1">
        <v>118.9</v>
      </c>
      <c r="R298" s="1">
        <v>116.8</v>
      </c>
      <c r="S298" s="1">
        <v>118</v>
      </c>
      <c r="T298" s="1">
        <v>115.2</v>
      </c>
      <c r="U298" s="1">
        <v>117.6</v>
      </c>
      <c r="V298" s="1">
        <v>114.3</v>
      </c>
      <c r="W298" s="1">
        <v>112.5</v>
      </c>
      <c r="X298" s="1">
        <v>114.1</v>
      </c>
      <c r="Y298" s="1">
        <v>111.8</v>
      </c>
      <c r="Z298" s="1">
        <v>111.3</v>
      </c>
      <c r="AA298" s="1">
        <v>111.2</v>
      </c>
      <c r="AB298" s="1">
        <v>113</v>
      </c>
      <c r="AC298" s="1">
        <v>109.1</v>
      </c>
      <c r="AD298" s="1">
        <v>111.8</v>
      </c>
      <c r="AE298" s="1">
        <v>115.8</v>
      </c>
    </row>
    <row r="299" spans="1:31" x14ac:dyDescent="0.25">
      <c r="A299" s="1" t="s">
        <v>34</v>
      </c>
      <c r="B299" s="1">
        <v>2015</v>
      </c>
      <c r="C299" s="1" t="s">
        <v>36</v>
      </c>
      <c r="D299" s="1" t="s">
        <v>109</v>
      </c>
      <c r="E299" s="1">
        <v>123.5</v>
      </c>
      <c r="F299" s="1">
        <v>125.4</v>
      </c>
      <c r="G299" s="1">
        <v>116.8</v>
      </c>
      <c r="H299" s="1">
        <v>126</v>
      </c>
      <c r="I299" s="1">
        <v>109.2</v>
      </c>
      <c r="J299" s="1">
        <v>127.6</v>
      </c>
      <c r="K299" s="1">
        <v>129.19999999999999</v>
      </c>
      <c r="L299" s="1">
        <v>122.4</v>
      </c>
      <c r="M299" s="1">
        <v>97</v>
      </c>
      <c r="N299" s="1">
        <v>122.1</v>
      </c>
      <c r="O299" s="1">
        <v>118.1</v>
      </c>
      <c r="P299" s="1">
        <v>128.4</v>
      </c>
      <c r="Q299" s="1">
        <v>123.4</v>
      </c>
      <c r="R299" s="1">
        <v>125.8</v>
      </c>
      <c r="S299" s="1">
        <v>124.3</v>
      </c>
      <c r="T299" s="1">
        <v>120.4</v>
      </c>
      <c r="U299" s="1">
        <v>123.7</v>
      </c>
      <c r="V299" s="1">
        <v>118.6</v>
      </c>
      <c r="W299" s="1">
        <v>118.3</v>
      </c>
      <c r="X299" s="1">
        <v>119.2</v>
      </c>
      <c r="Y299" s="1">
        <v>116.7</v>
      </c>
      <c r="Z299" s="1">
        <v>109.9</v>
      </c>
      <c r="AA299" s="1">
        <v>115.4</v>
      </c>
      <c r="AB299" s="1">
        <v>120.1</v>
      </c>
      <c r="AC299" s="1">
        <v>111</v>
      </c>
      <c r="AD299" s="1">
        <v>114.7</v>
      </c>
      <c r="AE299" s="1">
        <v>120.2</v>
      </c>
    </row>
    <row r="300" spans="1:31" x14ac:dyDescent="0.25">
      <c r="A300" s="1" t="s">
        <v>34</v>
      </c>
      <c r="B300" s="1">
        <v>2014</v>
      </c>
      <c r="C300" s="1" t="s">
        <v>42</v>
      </c>
      <c r="D300" s="1" t="s">
        <v>103</v>
      </c>
      <c r="E300" s="1">
        <v>122.9</v>
      </c>
      <c r="F300" s="1">
        <v>123.5</v>
      </c>
      <c r="G300" s="1">
        <v>117.3</v>
      </c>
      <c r="H300" s="1">
        <v>122.7</v>
      </c>
      <c r="I300" s="1">
        <v>107.9</v>
      </c>
      <c r="J300" s="1">
        <v>127.3</v>
      </c>
      <c r="K300" s="1">
        <v>162.1</v>
      </c>
      <c r="L300" s="1">
        <v>115.6</v>
      </c>
      <c r="M300" s="1">
        <v>103.8</v>
      </c>
      <c r="N300" s="1">
        <v>117.6</v>
      </c>
      <c r="O300" s="1">
        <v>115.8</v>
      </c>
      <c r="P300" s="1">
        <v>123.8</v>
      </c>
      <c r="Q300" s="1">
        <v>125.8</v>
      </c>
      <c r="R300" s="1">
        <v>120.8</v>
      </c>
      <c r="S300" s="1">
        <v>120.7</v>
      </c>
      <c r="T300" s="1">
        <v>117.2</v>
      </c>
      <c r="U300" s="1">
        <v>120.1</v>
      </c>
      <c r="V300" s="1">
        <v>116.1</v>
      </c>
      <c r="W300" s="1">
        <v>114.3</v>
      </c>
      <c r="X300" s="1">
        <v>116.1</v>
      </c>
      <c r="Y300" s="1">
        <v>113.7</v>
      </c>
      <c r="Z300" s="1">
        <v>112</v>
      </c>
      <c r="AA300" s="1">
        <v>113.1</v>
      </c>
      <c r="AB300" s="1">
        <v>118.6</v>
      </c>
      <c r="AC300" s="1">
        <v>109.5</v>
      </c>
      <c r="AD300" s="1">
        <v>113.7</v>
      </c>
      <c r="AE300" s="1">
        <v>120.1</v>
      </c>
    </row>
    <row r="301" spans="1:31" x14ac:dyDescent="0.25">
      <c r="A301" s="1" t="s">
        <v>33</v>
      </c>
      <c r="B301" s="1">
        <v>2014</v>
      </c>
      <c r="C301" s="1" t="s">
        <v>37</v>
      </c>
      <c r="D301" s="1" t="s">
        <v>98</v>
      </c>
      <c r="E301" s="1">
        <v>122.5</v>
      </c>
      <c r="F301" s="1">
        <v>121.7</v>
      </c>
      <c r="G301" s="1">
        <v>113.3</v>
      </c>
      <c r="H301" s="1">
        <v>117</v>
      </c>
      <c r="I301" s="1">
        <v>103.1</v>
      </c>
      <c r="J301" s="1">
        <v>126.7</v>
      </c>
      <c r="K301" s="1">
        <v>121.2</v>
      </c>
      <c r="L301" s="1">
        <v>111</v>
      </c>
      <c r="M301" s="1">
        <v>100.3</v>
      </c>
      <c r="N301" s="1">
        <v>115.3</v>
      </c>
      <c r="O301" s="1">
        <v>112.7</v>
      </c>
      <c r="P301" s="1">
        <v>121</v>
      </c>
      <c r="Q301" s="1">
        <v>118.2</v>
      </c>
      <c r="R301" s="1">
        <v>117.6</v>
      </c>
      <c r="S301" s="1">
        <v>116.3</v>
      </c>
      <c r="T301" s="1">
        <v>112.5</v>
      </c>
      <c r="U301" s="1">
        <v>115.7</v>
      </c>
      <c r="V301" s="1">
        <v>113.9</v>
      </c>
      <c r="W301" s="1">
        <v>110.9</v>
      </c>
      <c r="X301" s="1">
        <v>113.4</v>
      </c>
      <c r="Y301" s="1">
        <v>111</v>
      </c>
      <c r="Z301" s="1">
        <v>111.2</v>
      </c>
      <c r="AA301" s="1">
        <v>111.2</v>
      </c>
      <c r="AB301" s="1">
        <v>112.5</v>
      </c>
      <c r="AC301" s="1">
        <v>109.1</v>
      </c>
      <c r="AD301" s="1">
        <v>111.4</v>
      </c>
      <c r="AE301" s="1">
        <v>114.7</v>
      </c>
    </row>
    <row r="302" spans="1:31" x14ac:dyDescent="0.25">
      <c r="A302" s="1" t="s">
        <v>34</v>
      </c>
      <c r="B302" s="1">
        <v>2015</v>
      </c>
      <c r="C302" s="1" t="s">
        <v>45</v>
      </c>
      <c r="D302" s="1" t="s">
        <v>118</v>
      </c>
      <c r="E302" s="1">
        <v>125.7</v>
      </c>
      <c r="F302" s="1">
        <v>131.4</v>
      </c>
      <c r="G302" s="1">
        <v>124.8</v>
      </c>
      <c r="H302" s="1">
        <v>129.4</v>
      </c>
      <c r="I302" s="1">
        <v>115.3</v>
      </c>
      <c r="J302" s="1">
        <v>126.6</v>
      </c>
      <c r="K302" s="1">
        <v>146.69999999999999</v>
      </c>
      <c r="L302" s="1">
        <v>171.5</v>
      </c>
      <c r="M302" s="1">
        <v>94.5</v>
      </c>
      <c r="N302" s="1">
        <v>132.1</v>
      </c>
      <c r="O302" s="1">
        <v>122</v>
      </c>
      <c r="P302" s="1">
        <v>134.69999999999999</v>
      </c>
      <c r="Q302" s="1">
        <v>131.4</v>
      </c>
      <c r="R302" s="1">
        <v>134.5</v>
      </c>
      <c r="S302" s="1">
        <v>129.69999999999999</v>
      </c>
      <c r="T302" s="1">
        <v>124.8</v>
      </c>
      <c r="U302" s="1">
        <v>129</v>
      </c>
      <c r="V302" s="1">
        <v>122.4</v>
      </c>
      <c r="W302" s="1">
        <v>122</v>
      </c>
      <c r="X302" s="1">
        <v>123.6</v>
      </c>
      <c r="Y302" s="1">
        <v>121.4</v>
      </c>
      <c r="Z302" s="1">
        <v>111.5</v>
      </c>
      <c r="AA302" s="1">
        <v>119.6</v>
      </c>
      <c r="AB302" s="1">
        <v>126.2</v>
      </c>
      <c r="AC302" s="1">
        <v>113.7</v>
      </c>
      <c r="AD302" s="1">
        <v>118.3</v>
      </c>
      <c r="AE302" s="1">
        <v>126.1</v>
      </c>
    </row>
    <row r="303" spans="1:31" x14ac:dyDescent="0.25">
      <c r="A303" s="1" t="s">
        <v>34</v>
      </c>
      <c r="B303" s="1">
        <v>2014</v>
      </c>
      <c r="C303" s="1" t="s">
        <v>43</v>
      </c>
      <c r="D303" s="1" t="s">
        <v>104</v>
      </c>
      <c r="E303" s="1">
        <v>123.2</v>
      </c>
      <c r="F303" s="1">
        <v>123.8</v>
      </c>
      <c r="G303" s="1">
        <v>118.1</v>
      </c>
      <c r="H303" s="1">
        <v>123.2</v>
      </c>
      <c r="I303" s="1">
        <v>107.9</v>
      </c>
      <c r="J303" s="1">
        <v>126.4</v>
      </c>
      <c r="K303" s="1">
        <v>156.80000000000001</v>
      </c>
      <c r="L303" s="1">
        <v>116.1</v>
      </c>
      <c r="M303" s="1">
        <v>103.1</v>
      </c>
      <c r="N303" s="1">
        <v>118.1</v>
      </c>
      <c r="O303" s="1">
        <v>116.1</v>
      </c>
      <c r="P303" s="1">
        <v>124.5</v>
      </c>
      <c r="Q303" s="1">
        <v>125.4</v>
      </c>
      <c r="R303" s="1">
        <v>121.1</v>
      </c>
      <c r="S303" s="1">
        <v>121.5</v>
      </c>
      <c r="T303" s="1">
        <v>118.1</v>
      </c>
      <c r="U303" s="1">
        <v>121</v>
      </c>
      <c r="V303" s="1">
        <v>116.7</v>
      </c>
      <c r="W303" s="1">
        <v>114.7</v>
      </c>
      <c r="X303" s="1">
        <v>116.7</v>
      </c>
      <c r="Y303" s="1">
        <v>114.3</v>
      </c>
      <c r="Z303" s="1">
        <v>111.8</v>
      </c>
      <c r="AA303" s="1">
        <v>113.3</v>
      </c>
      <c r="AB303" s="1">
        <v>118.8</v>
      </c>
      <c r="AC303" s="1">
        <v>109.6</v>
      </c>
      <c r="AD303" s="1">
        <v>113.9</v>
      </c>
      <c r="AE303" s="1">
        <v>120.1</v>
      </c>
    </row>
    <row r="304" spans="1:31" x14ac:dyDescent="0.25">
      <c r="A304" s="1" t="s">
        <v>30</v>
      </c>
      <c r="B304" s="1">
        <v>2014</v>
      </c>
      <c r="C304" s="1" t="s">
        <v>38</v>
      </c>
      <c r="D304" s="1" t="s">
        <v>99</v>
      </c>
      <c r="E304" s="1">
        <v>120.3</v>
      </c>
      <c r="F304" s="1">
        <v>120.2</v>
      </c>
      <c r="G304" s="1">
        <v>116.9</v>
      </c>
      <c r="H304" s="1">
        <v>118</v>
      </c>
      <c r="I304" s="1">
        <v>110.1</v>
      </c>
      <c r="J304" s="1">
        <v>126.3</v>
      </c>
      <c r="K304" s="1">
        <v>123.9</v>
      </c>
      <c r="L304" s="1">
        <v>111.5</v>
      </c>
      <c r="M304" s="1">
        <v>103.5</v>
      </c>
      <c r="N304" s="1">
        <v>111.6</v>
      </c>
      <c r="O304" s="1">
        <v>114.2</v>
      </c>
      <c r="P304" s="1">
        <v>119.2</v>
      </c>
      <c r="Q304" s="1">
        <v>118.2</v>
      </c>
      <c r="R304" s="1">
        <v>116.3</v>
      </c>
      <c r="S304" s="1">
        <v>118.7</v>
      </c>
      <c r="T304" s="1">
        <v>116.8</v>
      </c>
      <c r="U304" s="1">
        <v>118.5</v>
      </c>
      <c r="V304" s="14">
        <v>114.3</v>
      </c>
      <c r="W304" s="1">
        <v>113.4</v>
      </c>
      <c r="X304" s="1">
        <v>114.1</v>
      </c>
      <c r="Y304" s="1">
        <v>112.1</v>
      </c>
      <c r="Z304" s="1">
        <v>111.4</v>
      </c>
      <c r="AA304" s="1">
        <v>110.9</v>
      </c>
      <c r="AB304" s="1">
        <v>113.1</v>
      </c>
      <c r="AC304" s="1">
        <v>108.9</v>
      </c>
      <c r="AD304" s="1">
        <v>111.8</v>
      </c>
      <c r="AE304" s="1">
        <v>116</v>
      </c>
    </row>
    <row r="305" spans="1:31" x14ac:dyDescent="0.25">
      <c r="A305" s="1" t="s">
        <v>34</v>
      </c>
      <c r="B305" s="1">
        <v>2015</v>
      </c>
      <c r="C305" s="1" t="s">
        <v>31</v>
      </c>
      <c r="D305" s="1" t="s">
        <v>107</v>
      </c>
      <c r="E305" s="1">
        <v>123.4</v>
      </c>
      <c r="F305" s="1">
        <v>123.9</v>
      </c>
      <c r="G305" s="1">
        <v>123.8</v>
      </c>
      <c r="H305" s="1">
        <v>125</v>
      </c>
      <c r="I305" s="1">
        <v>108.5</v>
      </c>
      <c r="J305" s="1">
        <v>126.2</v>
      </c>
      <c r="K305" s="1">
        <v>133</v>
      </c>
      <c r="L305" s="1">
        <v>119.1</v>
      </c>
      <c r="M305" s="1">
        <v>99</v>
      </c>
      <c r="N305" s="1">
        <v>120.3</v>
      </c>
      <c r="O305" s="1">
        <v>117.3</v>
      </c>
      <c r="P305" s="1">
        <v>126.7</v>
      </c>
      <c r="Q305" s="1">
        <v>123.1</v>
      </c>
      <c r="R305" s="1">
        <v>124</v>
      </c>
      <c r="S305" s="1">
        <v>123.1</v>
      </c>
      <c r="T305" s="1">
        <v>119.3</v>
      </c>
      <c r="U305" s="1">
        <v>122.5</v>
      </c>
      <c r="V305" s="1">
        <v>117.3</v>
      </c>
      <c r="W305" s="1">
        <v>116.5</v>
      </c>
      <c r="X305" s="1">
        <v>118.1</v>
      </c>
      <c r="Y305" s="1">
        <v>115.5</v>
      </c>
      <c r="Z305" s="1">
        <v>109.4</v>
      </c>
      <c r="AA305" s="1">
        <v>114.3</v>
      </c>
      <c r="AB305" s="1">
        <v>119.7</v>
      </c>
      <c r="AC305" s="1">
        <v>110.7</v>
      </c>
      <c r="AD305" s="1">
        <v>114</v>
      </c>
      <c r="AE305" s="1">
        <v>119.5</v>
      </c>
    </row>
    <row r="306" spans="1:31" x14ac:dyDescent="0.25">
      <c r="A306" s="1" t="s">
        <v>34</v>
      </c>
      <c r="B306" s="1">
        <v>2016</v>
      </c>
      <c r="C306" s="1" t="s">
        <v>36</v>
      </c>
      <c r="D306" s="1" t="s">
        <v>121</v>
      </c>
      <c r="E306" s="1">
        <v>126.5</v>
      </c>
      <c r="F306" s="1">
        <v>135.1</v>
      </c>
      <c r="G306" s="1">
        <v>124.6</v>
      </c>
      <c r="H306" s="1">
        <v>130.19999999999999</v>
      </c>
      <c r="I306" s="1">
        <v>114.5</v>
      </c>
      <c r="J306" s="1">
        <v>126.2</v>
      </c>
      <c r="K306" s="1">
        <v>129.80000000000001</v>
      </c>
      <c r="L306" s="1">
        <v>164.3</v>
      </c>
      <c r="M306" s="1">
        <v>100.9</v>
      </c>
      <c r="N306" s="1">
        <v>133.9</v>
      </c>
      <c r="O306" s="1">
        <v>123.1</v>
      </c>
      <c r="P306" s="1">
        <v>136.30000000000001</v>
      </c>
      <c r="Q306" s="1">
        <v>129.80000000000001</v>
      </c>
      <c r="R306" s="1">
        <v>136.5</v>
      </c>
      <c r="S306" s="1">
        <v>131.30000000000001</v>
      </c>
      <c r="T306" s="1">
        <v>126.1</v>
      </c>
      <c r="U306" s="1">
        <v>130.5</v>
      </c>
      <c r="V306" s="1">
        <v>124.9</v>
      </c>
      <c r="W306" s="1">
        <v>122.4</v>
      </c>
      <c r="X306" s="1">
        <v>125.1</v>
      </c>
      <c r="Y306" s="1">
        <v>122.9</v>
      </c>
      <c r="Z306" s="1">
        <v>110.9</v>
      </c>
      <c r="AA306" s="1">
        <v>120.6</v>
      </c>
      <c r="AB306" s="1">
        <v>126.9</v>
      </c>
      <c r="AC306" s="1">
        <v>117.3</v>
      </c>
      <c r="AD306" s="1">
        <v>119.3</v>
      </c>
      <c r="AE306" s="1">
        <v>126</v>
      </c>
    </row>
    <row r="307" spans="1:31" x14ac:dyDescent="0.25">
      <c r="A307" s="1" t="s">
        <v>34</v>
      </c>
      <c r="B307" s="1">
        <v>2014</v>
      </c>
      <c r="C307" s="1" t="s">
        <v>37</v>
      </c>
      <c r="D307" s="1" t="s">
        <v>98</v>
      </c>
      <c r="E307" s="1">
        <v>120.9</v>
      </c>
      <c r="F307" s="1">
        <v>119.9</v>
      </c>
      <c r="G307" s="1">
        <v>116.2</v>
      </c>
      <c r="H307" s="1">
        <v>117</v>
      </c>
      <c r="I307" s="1">
        <v>107.3</v>
      </c>
      <c r="J307" s="1">
        <v>126.1</v>
      </c>
      <c r="K307" s="1">
        <v>120.7</v>
      </c>
      <c r="L307" s="1">
        <v>111</v>
      </c>
      <c r="M307" s="1">
        <v>101.8</v>
      </c>
      <c r="N307" s="1">
        <v>112.6</v>
      </c>
      <c r="O307" s="1">
        <v>113.2</v>
      </c>
      <c r="P307" s="1">
        <v>119.8</v>
      </c>
      <c r="Q307" s="1">
        <v>117.6</v>
      </c>
      <c r="R307" s="1">
        <v>116</v>
      </c>
      <c r="S307" s="1">
        <v>117.4</v>
      </c>
      <c r="T307" s="1">
        <v>114.6</v>
      </c>
      <c r="U307" s="1">
        <v>117</v>
      </c>
      <c r="V307" s="1">
        <v>113.9</v>
      </c>
      <c r="W307" s="1">
        <v>112.5</v>
      </c>
      <c r="X307" s="1">
        <v>113.6</v>
      </c>
      <c r="Y307" s="1">
        <v>111.5</v>
      </c>
      <c r="Z307" s="1">
        <v>111.2</v>
      </c>
      <c r="AA307" s="1">
        <v>110.9</v>
      </c>
      <c r="AB307" s="1">
        <v>112.7</v>
      </c>
      <c r="AC307" s="1">
        <v>109</v>
      </c>
      <c r="AD307" s="1">
        <v>111.5</v>
      </c>
      <c r="AE307" s="1">
        <v>115.1</v>
      </c>
    </row>
    <row r="308" spans="1:31" x14ac:dyDescent="0.25">
      <c r="A308" s="1" t="s">
        <v>30</v>
      </c>
      <c r="B308" s="1">
        <v>2014</v>
      </c>
      <c r="C308" s="1" t="s">
        <v>39</v>
      </c>
      <c r="D308" s="1" t="s">
        <v>100</v>
      </c>
      <c r="E308" s="1">
        <v>120.7</v>
      </c>
      <c r="F308" s="1">
        <v>121.6</v>
      </c>
      <c r="G308" s="1">
        <v>116.1</v>
      </c>
      <c r="H308" s="1">
        <v>119.3</v>
      </c>
      <c r="I308" s="1">
        <v>110.3</v>
      </c>
      <c r="J308" s="1">
        <v>125.8</v>
      </c>
      <c r="K308" s="1">
        <v>129.30000000000001</v>
      </c>
      <c r="L308" s="1">
        <v>112.2</v>
      </c>
      <c r="M308" s="1">
        <v>103.6</v>
      </c>
      <c r="N308" s="1">
        <v>112.3</v>
      </c>
      <c r="O308" s="1">
        <v>114.9</v>
      </c>
      <c r="P308" s="1">
        <v>120.1</v>
      </c>
      <c r="Q308" s="1">
        <v>119.5</v>
      </c>
      <c r="R308" s="1">
        <v>117.3</v>
      </c>
      <c r="S308" s="1">
        <v>119.7</v>
      </c>
      <c r="T308" s="1">
        <v>117.3</v>
      </c>
      <c r="U308" s="1">
        <v>119.3</v>
      </c>
      <c r="V308" s="14">
        <v>113.9</v>
      </c>
      <c r="W308" s="1">
        <v>114.4</v>
      </c>
      <c r="X308" s="1">
        <v>114.9</v>
      </c>
      <c r="Y308" s="1">
        <v>112.8</v>
      </c>
      <c r="Z308" s="1">
        <v>112.2</v>
      </c>
      <c r="AA308" s="1">
        <v>111.4</v>
      </c>
      <c r="AB308" s="1">
        <v>114.3</v>
      </c>
      <c r="AC308" s="1">
        <v>108</v>
      </c>
      <c r="AD308" s="1">
        <v>112.3</v>
      </c>
      <c r="AE308" s="1">
        <v>117</v>
      </c>
    </row>
    <row r="309" spans="1:31" x14ac:dyDescent="0.25">
      <c r="A309" s="1" t="s">
        <v>34</v>
      </c>
      <c r="B309" s="1">
        <v>2015</v>
      </c>
      <c r="C309" s="1" t="s">
        <v>35</v>
      </c>
      <c r="D309" s="1" t="s">
        <v>108</v>
      </c>
      <c r="E309" s="1">
        <v>123.7</v>
      </c>
      <c r="F309" s="1">
        <v>125.1</v>
      </c>
      <c r="G309" s="1">
        <v>121.1</v>
      </c>
      <c r="H309" s="1">
        <v>125.7</v>
      </c>
      <c r="I309" s="1">
        <v>109.1</v>
      </c>
      <c r="J309" s="1">
        <v>125.8</v>
      </c>
      <c r="K309" s="1">
        <v>129.4</v>
      </c>
      <c r="L309" s="1">
        <v>120.9</v>
      </c>
      <c r="M309" s="1">
        <v>98.3</v>
      </c>
      <c r="N309" s="1">
        <v>121.6</v>
      </c>
      <c r="O309" s="1">
        <v>118</v>
      </c>
      <c r="P309" s="1">
        <v>127.6</v>
      </c>
      <c r="Q309" s="1">
        <v>123.1</v>
      </c>
      <c r="R309" s="1">
        <v>125.2</v>
      </c>
      <c r="S309" s="1">
        <v>123.8</v>
      </c>
      <c r="T309" s="1">
        <v>120.1</v>
      </c>
      <c r="U309" s="1">
        <v>123.3</v>
      </c>
      <c r="V309" s="1">
        <v>118.1</v>
      </c>
      <c r="W309" s="1">
        <v>117.7</v>
      </c>
      <c r="X309" s="1">
        <v>118.7</v>
      </c>
      <c r="Y309" s="1">
        <v>116.3</v>
      </c>
      <c r="Z309" s="1">
        <v>108.7</v>
      </c>
      <c r="AA309" s="1">
        <v>114.9</v>
      </c>
      <c r="AB309" s="1">
        <v>119.7</v>
      </c>
      <c r="AC309" s="1">
        <v>111.2</v>
      </c>
      <c r="AD309" s="1">
        <v>114.1</v>
      </c>
      <c r="AE309" s="1">
        <v>119.7</v>
      </c>
    </row>
    <row r="310" spans="1:31" x14ac:dyDescent="0.25">
      <c r="A310" s="1" t="s">
        <v>34</v>
      </c>
      <c r="B310" s="1">
        <v>2014</v>
      </c>
      <c r="C310" s="1" t="s">
        <v>44</v>
      </c>
      <c r="D310" s="1" t="s">
        <v>105</v>
      </c>
      <c r="E310" s="1">
        <v>123.3</v>
      </c>
      <c r="F310" s="1">
        <v>123.7</v>
      </c>
      <c r="G310" s="1">
        <v>121</v>
      </c>
      <c r="H310" s="1">
        <v>124.2</v>
      </c>
      <c r="I310" s="1">
        <v>107.8</v>
      </c>
      <c r="J310" s="1">
        <v>125.7</v>
      </c>
      <c r="K310" s="1">
        <v>152.4</v>
      </c>
      <c r="L310" s="1">
        <v>117.2</v>
      </c>
      <c r="M310" s="1">
        <v>102.1</v>
      </c>
      <c r="N310" s="1">
        <v>118.7</v>
      </c>
      <c r="O310" s="1">
        <v>116.4</v>
      </c>
      <c r="P310" s="1">
        <v>125.6</v>
      </c>
      <c r="Q310" s="1">
        <v>125.1</v>
      </c>
      <c r="R310" s="1">
        <v>122.1</v>
      </c>
      <c r="S310" s="1">
        <v>122.1</v>
      </c>
      <c r="T310" s="1">
        <v>118.4</v>
      </c>
      <c r="U310" s="1">
        <v>121.6</v>
      </c>
      <c r="V310" s="1">
        <v>117.1</v>
      </c>
      <c r="W310" s="1">
        <v>115.5</v>
      </c>
      <c r="X310" s="1">
        <v>117.3</v>
      </c>
      <c r="Y310" s="1">
        <v>114.8</v>
      </c>
      <c r="Z310" s="1">
        <v>110.8</v>
      </c>
      <c r="AA310" s="1">
        <v>113.7</v>
      </c>
      <c r="AB310" s="1">
        <v>119</v>
      </c>
      <c r="AC310" s="1">
        <v>109.1</v>
      </c>
      <c r="AD310" s="1">
        <v>113.8</v>
      </c>
      <c r="AE310" s="1">
        <v>120.1</v>
      </c>
    </row>
    <row r="311" spans="1:31" x14ac:dyDescent="0.25">
      <c r="A311" s="1" t="s">
        <v>34</v>
      </c>
      <c r="B311" s="1">
        <v>2014</v>
      </c>
      <c r="C311" s="1" t="s">
        <v>45</v>
      </c>
      <c r="D311" s="1" t="s">
        <v>106</v>
      </c>
      <c r="E311" s="1">
        <v>122.9</v>
      </c>
      <c r="F311" s="1">
        <v>123.2</v>
      </c>
      <c r="G311" s="1">
        <v>123.5</v>
      </c>
      <c r="H311" s="1">
        <v>124.5</v>
      </c>
      <c r="I311" s="1">
        <v>107.6</v>
      </c>
      <c r="J311" s="1">
        <v>125.7</v>
      </c>
      <c r="K311" s="1">
        <v>140.5</v>
      </c>
      <c r="L311" s="1">
        <v>117.6</v>
      </c>
      <c r="M311" s="1">
        <v>100.6</v>
      </c>
      <c r="N311" s="1">
        <v>119.1</v>
      </c>
      <c r="O311" s="1">
        <v>116.8</v>
      </c>
      <c r="P311" s="1">
        <v>126.1</v>
      </c>
      <c r="Q311" s="1">
        <v>123.6</v>
      </c>
      <c r="R311" s="1">
        <v>123</v>
      </c>
      <c r="S311" s="1">
        <v>122.6</v>
      </c>
      <c r="T311" s="1">
        <v>118.6</v>
      </c>
      <c r="U311" s="1">
        <v>122</v>
      </c>
      <c r="V311" s="1">
        <v>116.5</v>
      </c>
      <c r="W311" s="1">
        <v>115.7</v>
      </c>
      <c r="X311" s="1">
        <v>117.5</v>
      </c>
      <c r="Y311" s="1">
        <v>115.1</v>
      </c>
      <c r="Z311" s="1">
        <v>110.1</v>
      </c>
      <c r="AA311" s="1">
        <v>113.9</v>
      </c>
      <c r="AB311" s="1">
        <v>119.5</v>
      </c>
      <c r="AC311" s="1">
        <v>109.8</v>
      </c>
      <c r="AD311" s="1">
        <v>113.8</v>
      </c>
      <c r="AE311" s="1">
        <v>119.4</v>
      </c>
    </row>
    <row r="312" spans="1:31" x14ac:dyDescent="0.25">
      <c r="A312" s="1" t="s">
        <v>34</v>
      </c>
      <c r="B312" s="1">
        <v>2016</v>
      </c>
      <c r="C312" s="1" t="s">
        <v>31</v>
      </c>
      <c r="D312" s="1" t="s">
        <v>119</v>
      </c>
      <c r="E312" s="1">
        <v>126.1</v>
      </c>
      <c r="F312" s="1">
        <v>134.1</v>
      </c>
      <c r="G312" s="1">
        <v>128.6</v>
      </c>
      <c r="H312" s="1">
        <v>129.9</v>
      </c>
      <c r="I312" s="1">
        <v>115.5</v>
      </c>
      <c r="J312" s="1">
        <v>125.7</v>
      </c>
      <c r="K312" s="1">
        <v>141.5</v>
      </c>
      <c r="L312" s="1">
        <v>170.7</v>
      </c>
      <c r="M312" s="1">
        <v>97.4</v>
      </c>
      <c r="N312" s="1">
        <v>132.9</v>
      </c>
      <c r="O312" s="1">
        <v>122.7</v>
      </c>
      <c r="P312" s="1">
        <v>135.30000000000001</v>
      </c>
      <c r="Q312" s="1">
        <v>131.30000000000001</v>
      </c>
      <c r="R312" s="1">
        <v>135.19999999999999</v>
      </c>
      <c r="S312" s="1">
        <v>130.30000000000001</v>
      </c>
      <c r="T312" s="1">
        <v>125.1</v>
      </c>
      <c r="U312" s="1">
        <v>129.5</v>
      </c>
      <c r="V312" s="1">
        <v>123.4</v>
      </c>
      <c r="W312" s="1">
        <v>122.7</v>
      </c>
      <c r="X312" s="1">
        <v>124.2</v>
      </c>
      <c r="Y312" s="1">
        <v>122</v>
      </c>
      <c r="Z312" s="1">
        <v>111.1</v>
      </c>
      <c r="AA312" s="1">
        <v>119.8</v>
      </c>
      <c r="AB312" s="1">
        <v>126.3</v>
      </c>
      <c r="AC312" s="1">
        <v>114.5</v>
      </c>
      <c r="AD312" s="1">
        <v>118.5</v>
      </c>
      <c r="AE312" s="1">
        <v>126.3</v>
      </c>
    </row>
    <row r="313" spans="1:31" x14ac:dyDescent="0.25">
      <c r="A313" s="1" t="s">
        <v>30</v>
      </c>
      <c r="B313" s="1">
        <v>2014</v>
      </c>
      <c r="C313" s="1" t="s">
        <v>37</v>
      </c>
      <c r="D313" s="1" t="s">
        <v>98</v>
      </c>
      <c r="E313" s="1">
        <v>120.2</v>
      </c>
      <c r="F313" s="1">
        <v>118.9</v>
      </c>
      <c r="G313" s="1">
        <v>118.1</v>
      </c>
      <c r="H313" s="1">
        <v>117</v>
      </c>
      <c r="I313" s="1">
        <v>109.7</v>
      </c>
      <c r="J313" s="1">
        <v>125.5</v>
      </c>
      <c r="K313" s="1">
        <v>120.5</v>
      </c>
      <c r="L313" s="1">
        <v>111</v>
      </c>
      <c r="M313" s="1">
        <v>102.6</v>
      </c>
      <c r="N313" s="1">
        <v>111.2</v>
      </c>
      <c r="O313" s="1">
        <v>113.5</v>
      </c>
      <c r="P313" s="1">
        <v>118.7</v>
      </c>
      <c r="Q313" s="1">
        <v>117.2</v>
      </c>
      <c r="R313" s="1">
        <v>115.4</v>
      </c>
      <c r="S313" s="1">
        <v>118.1</v>
      </c>
      <c r="T313" s="1">
        <v>116.1</v>
      </c>
      <c r="U313" s="1">
        <v>117.8</v>
      </c>
      <c r="V313" s="14">
        <v>113.9</v>
      </c>
      <c r="W313" s="1">
        <v>113.4</v>
      </c>
      <c r="X313" s="1">
        <v>113.7</v>
      </c>
      <c r="Y313" s="1">
        <v>111.8</v>
      </c>
      <c r="Z313" s="1">
        <v>111.2</v>
      </c>
      <c r="AA313" s="1">
        <v>110.5</v>
      </c>
      <c r="AB313" s="1">
        <v>113</v>
      </c>
      <c r="AC313" s="1">
        <v>108.9</v>
      </c>
      <c r="AD313" s="1">
        <v>111.5</v>
      </c>
      <c r="AE313" s="1">
        <v>115.4</v>
      </c>
    </row>
    <row r="314" spans="1:31" x14ac:dyDescent="0.25">
      <c r="A314" s="1" t="s">
        <v>34</v>
      </c>
      <c r="B314" s="1">
        <v>2016</v>
      </c>
      <c r="C314" s="1" t="s">
        <v>35</v>
      </c>
      <c r="D314" s="1" t="s">
        <v>120</v>
      </c>
      <c r="E314" s="1">
        <v>126.4</v>
      </c>
      <c r="F314" s="1">
        <v>134.19999999999999</v>
      </c>
      <c r="G314" s="1">
        <v>128.69999999999999</v>
      </c>
      <c r="H314" s="1">
        <v>130.30000000000001</v>
      </c>
      <c r="I314" s="1">
        <v>114.8</v>
      </c>
      <c r="J314" s="1">
        <v>124.9</v>
      </c>
      <c r="K314" s="1">
        <v>130.30000000000001</v>
      </c>
      <c r="L314" s="1">
        <v>167.4</v>
      </c>
      <c r="M314" s="1">
        <v>98.8</v>
      </c>
      <c r="N314" s="1">
        <v>133.6</v>
      </c>
      <c r="O314" s="1">
        <v>123</v>
      </c>
      <c r="P314" s="1">
        <v>135.80000000000001</v>
      </c>
      <c r="Q314" s="1">
        <v>129.9</v>
      </c>
      <c r="R314" s="1">
        <v>135.9</v>
      </c>
      <c r="S314" s="1">
        <v>130.9</v>
      </c>
      <c r="T314" s="1">
        <v>125.8</v>
      </c>
      <c r="U314" s="1">
        <v>130.19999999999999</v>
      </c>
      <c r="V314" s="1">
        <v>124.4</v>
      </c>
      <c r="W314" s="1">
        <v>123.1</v>
      </c>
      <c r="X314" s="1">
        <v>124.6</v>
      </c>
      <c r="Y314" s="1">
        <v>122.5</v>
      </c>
      <c r="Z314" s="1">
        <v>111.4</v>
      </c>
      <c r="AA314" s="1">
        <v>120.3</v>
      </c>
      <c r="AB314" s="1">
        <v>126.6</v>
      </c>
      <c r="AC314" s="1">
        <v>116.6</v>
      </c>
      <c r="AD314" s="1">
        <v>119.1</v>
      </c>
      <c r="AE314" s="1">
        <v>126</v>
      </c>
    </row>
    <row r="315" spans="1:31" x14ac:dyDescent="0.25">
      <c r="A315" s="1" t="s">
        <v>33</v>
      </c>
      <c r="B315" s="1">
        <v>2014</v>
      </c>
      <c r="C315" s="1" t="s">
        <v>42</v>
      </c>
      <c r="D315" s="1" t="s">
        <v>103</v>
      </c>
      <c r="E315" s="1">
        <v>124.2</v>
      </c>
      <c r="F315" s="1">
        <v>125.4</v>
      </c>
      <c r="G315" s="1">
        <v>116.4</v>
      </c>
      <c r="H315" s="1">
        <v>122.7</v>
      </c>
      <c r="I315" s="1">
        <v>103.5</v>
      </c>
      <c r="J315" s="1">
        <v>124.5</v>
      </c>
      <c r="K315" s="1">
        <v>168.6</v>
      </c>
      <c r="L315" s="1">
        <v>116.9</v>
      </c>
      <c r="M315" s="1">
        <v>101.9</v>
      </c>
      <c r="N315" s="1">
        <v>122.9</v>
      </c>
      <c r="O315" s="1">
        <v>114.8</v>
      </c>
      <c r="P315" s="1">
        <v>125.2</v>
      </c>
      <c r="Q315" s="1">
        <v>126.7</v>
      </c>
      <c r="R315" s="1">
        <v>124.3</v>
      </c>
      <c r="S315" s="1">
        <v>119.2</v>
      </c>
      <c r="T315" s="1">
        <v>114.5</v>
      </c>
      <c r="U315" s="1">
        <v>118.4</v>
      </c>
      <c r="V315" s="1">
        <v>116.1</v>
      </c>
      <c r="W315" s="1">
        <v>111.8</v>
      </c>
      <c r="X315" s="1">
        <v>115.5</v>
      </c>
      <c r="Y315" s="1">
        <v>112.3</v>
      </c>
      <c r="Z315" s="1">
        <v>111.2</v>
      </c>
      <c r="AA315" s="1">
        <v>113.4</v>
      </c>
      <c r="AB315" s="1">
        <v>120</v>
      </c>
      <c r="AC315" s="1">
        <v>110</v>
      </c>
      <c r="AD315" s="1">
        <v>113.6</v>
      </c>
      <c r="AE315" s="1">
        <v>119.2</v>
      </c>
    </row>
    <row r="316" spans="1:31" x14ac:dyDescent="0.25">
      <c r="A316" s="1" t="s">
        <v>33</v>
      </c>
      <c r="B316" s="1">
        <v>2015</v>
      </c>
      <c r="C316" s="1" t="s">
        <v>43</v>
      </c>
      <c r="D316" s="1" t="s">
        <v>116</v>
      </c>
      <c r="E316" s="1">
        <v>123.6</v>
      </c>
      <c r="F316" s="1">
        <v>128.6</v>
      </c>
      <c r="G316" s="1">
        <v>115.9</v>
      </c>
      <c r="H316" s="1">
        <v>128.5</v>
      </c>
      <c r="I316" s="1">
        <v>109</v>
      </c>
      <c r="J316" s="1">
        <v>124.1</v>
      </c>
      <c r="K316" s="1">
        <v>165.8</v>
      </c>
      <c r="L316" s="1">
        <v>187.2</v>
      </c>
      <c r="M316" s="1">
        <v>89.4</v>
      </c>
      <c r="N316" s="1">
        <v>135.80000000000001</v>
      </c>
      <c r="O316" s="1">
        <v>119.4</v>
      </c>
      <c r="P316" s="1">
        <v>132.9</v>
      </c>
      <c r="Q316" s="1">
        <v>132.6</v>
      </c>
      <c r="R316" s="1">
        <v>135.30000000000001</v>
      </c>
      <c r="S316" s="1">
        <v>124.4</v>
      </c>
      <c r="T316" s="1">
        <v>118.8</v>
      </c>
      <c r="U316" s="1">
        <v>123.6</v>
      </c>
      <c r="V316" s="1">
        <v>122.4</v>
      </c>
      <c r="W316" s="1">
        <v>114.9</v>
      </c>
      <c r="X316" s="1">
        <v>120.7</v>
      </c>
      <c r="Y316" s="1">
        <v>117.7</v>
      </c>
      <c r="Z316" s="1">
        <v>109.3</v>
      </c>
      <c r="AA316" s="1">
        <v>117.7</v>
      </c>
      <c r="AB316" s="1">
        <v>126.5</v>
      </c>
      <c r="AC316" s="1">
        <v>113.5</v>
      </c>
      <c r="AD316" s="1">
        <v>116.5</v>
      </c>
      <c r="AE316" s="1">
        <v>124.2</v>
      </c>
    </row>
    <row r="317" spans="1:31" x14ac:dyDescent="0.25">
      <c r="A317" s="1" t="s">
        <v>33</v>
      </c>
      <c r="B317" s="1">
        <v>2015</v>
      </c>
      <c r="C317" s="1" t="s">
        <v>42</v>
      </c>
      <c r="D317" s="1" t="s">
        <v>115</v>
      </c>
      <c r="E317" s="1">
        <v>123.4</v>
      </c>
      <c r="F317" s="1">
        <v>129</v>
      </c>
      <c r="G317" s="1">
        <v>115.6</v>
      </c>
      <c r="H317" s="1">
        <v>128.30000000000001</v>
      </c>
      <c r="I317" s="1">
        <v>107</v>
      </c>
      <c r="J317" s="1">
        <v>124</v>
      </c>
      <c r="K317" s="1">
        <v>168.5</v>
      </c>
      <c r="L317" s="1">
        <v>165.4</v>
      </c>
      <c r="M317" s="1">
        <v>86.3</v>
      </c>
      <c r="N317" s="1">
        <v>134.4</v>
      </c>
      <c r="O317" s="1">
        <v>119.1</v>
      </c>
      <c r="P317" s="1">
        <v>132.30000000000001</v>
      </c>
      <c r="Q317" s="1">
        <v>131.5</v>
      </c>
      <c r="R317" s="1">
        <v>134.69999999999999</v>
      </c>
      <c r="S317" s="1">
        <v>124</v>
      </c>
      <c r="T317" s="1">
        <v>118.6</v>
      </c>
      <c r="U317" s="1">
        <v>123.2</v>
      </c>
      <c r="V317" s="1">
        <v>121.6</v>
      </c>
      <c r="W317" s="1">
        <v>115.1</v>
      </c>
      <c r="X317" s="1">
        <v>120.4</v>
      </c>
      <c r="Y317" s="1">
        <v>117.1</v>
      </c>
      <c r="Z317" s="1">
        <v>109.1</v>
      </c>
      <c r="AA317" s="1">
        <v>117.3</v>
      </c>
      <c r="AB317" s="1">
        <v>126.5</v>
      </c>
      <c r="AC317" s="1">
        <v>112.9</v>
      </c>
      <c r="AD317" s="1">
        <v>116.2</v>
      </c>
      <c r="AE317" s="1">
        <v>123.5</v>
      </c>
    </row>
    <row r="318" spans="1:31" x14ac:dyDescent="0.25">
      <c r="A318" s="1" t="s">
        <v>33</v>
      </c>
      <c r="B318" s="1">
        <v>2015</v>
      </c>
      <c r="C318" s="1" t="s">
        <v>36</v>
      </c>
      <c r="D318" s="1" t="s">
        <v>109</v>
      </c>
      <c r="E318" s="1">
        <v>124</v>
      </c>
      <c r="F318" s="1">
        <v>126.7</v>
      </c>
      <c r="G318" s="1">
        <v>113.5</v>
      </c>
      <c r="H318" s="1">
        <v>125.9</v>
      </c>
      <c r="I318" s="1">
        <v>104.8</v>
      </c>
      <c r="J318" s="1">
        <v>123.8</v>
      </c>
      <c r="K318" s="1">
        <v>131.4</v>
      </c>
      <c r="L318" s="1">
        <v>127.2</v>
      </c>
      <c r="M318" s="1">
        <v>93.2</v>
      </c>
      <c r="N318" s="1">
        <v>127.4</v>
      </c>
      <c r="O318" s="1">
        <v>117</v>
      </c>
      <c r="P318" s="1">
        <v>129.19999999999999</v>
      </c>
      <c r="Q318" s="1">
        <v>123.9</v>
      </c>
      <c r="R318" s="1">
        <v>128.80000000000001</v>
      </c>
      <c r="S318" s="1">
        <v>121.7</v>
      </c>
      <c r="T318" s="1">
        <v>116.9</v>
      </c>
      <c r="U318" s="1">
        <v>120.9</v>
      </c>
      <c r="V318" s="1">
        <v>118.6</v>
      </c>
      <c r="W318" s="1">
        <v>114.4</v>
      </c>
      <c r="X318" s="1">
        <v>118</v>
      </c>
      <c r="Y318" s="1">
        <v>114.3</v>
      </c>
      <c r="Z318" s="1">
        <v>108.4</v>
      </c>
      <c r="AA318" s="1">
        <v>115.4</v>
      </c>
      <c r="AB318" s="1">
        <v>120.6</v>
      </c>
      <c r="AC318" s="1">
        <v>111.3</v>
      </c>
      <c r="AD318" s="1">
        <v>113.8</v>
      </c>
      <c r="AE318" s="1">
        <v>119.1</v>
      </c>
    </row>
    <row r="319" spans="1:31" x14ac:dyDescent="0.25">
      <c r="A319" s="1" t="s">
        <v>33</v>
      </c>
      <c r="B319" s="1">
        <v>2015</v>
      </c>
      <c r="C319" s="1" t="s">
        <v>44</v>
      </c>
      <c r="D319" s="1" t="s">
        <v>117</v>
      </c>
      <c r="E319" s="1">
        <v>124</v>
      </c>
      <c r="F319" s="1">
        <v>129.80000000000001</v>
      </c>
      <c r="G319" s="1">
        <v>121.5</v>
      </c>
      <c r="H319" s="1">
        <v>128.6</v>
      </c>
      <c r="I319" s="1">
        <v>110</v>
      </c>
      <c r="J319" s="1">
        <v>123.7</v>
      </c>
      <c r="K319" s="1">
        <v>164.6</v>
      </c>
      <c r="L319" s="1">
        <v>191.6</v>
      </c>
      <c r="M319" s="1">
        <v>90.8</v>
      </c>
      <c r="N319" s="1">
        <v>137.1</v>
      </c>
      <c r="O319" s="1">
        <v>119.8</v>
      </c>
      <c r="P319" s="1">
        <v>133.69999999999999</v>
      </c>
      <c r="Q319" s="1">
        <v>133.30000000000001</v>
      </c>
      <c r="R319" s="1">
        <v>137.6</v>
      </c>
      <c r="S319" s="1">
        <v>125</v>
      </c>
      <c r="T319" s="1">
        <v>119.3</v>
      </c>
      <c r="U319" s="1">
        <v>124.2</v>
      </c>
      <c r="V319" s="1">
        <v>122.9</v>
      </c>
      <c r="W319" s="1">
        <v>115.1</v>
      </c>
      <c r="X319" s="1">
        <v>121</v>
      </c>
      <c r="Y319" s="1">
        <v>118.1</v>
      </c>
      <c r="Z319" s="1">
        <v>109.3</v>
      </c>
      <c r="AA319" s="1">
        <v>117.9</v>
      </c>
      <c r="AB319" s="1">
        <v>126.6</v>
      </c>
      <c r="AC319" s="1">
        <v>113.3</v>
      </c>
      <c r="AD319" s="1">
        <v>116.6</v>
      </c>
      <c r="AE319" s="1">
        <v>124.6</v>
      </c>
    </row>
    <row r="320" spans="1:31" x14ac:dyDescent="0.25">
      <c r="A320" s="1" t="s">
        <v>33</v>
      </c>
      <c r="B320" s="1">
        <v>2014</v>
      </c>
      <c r="C320" s="1" t="s">
        <v>43</v>
      </c>
      <c r="D320" s="1" t="s">
        <v>104</v>
      </c>
      <c r="E320" s="1">
        <v>124.6</v>
      </c>
      <c r="F320" s="1">
        <v>126.1</v>
      </c>
      <c r="G320" s="1">
        <v>117.8</v>
      </c>
      <c r="H320" s="1">
        <v>123.1</v>
      </c>
      <c r="I320" s="1">
        <v>103.5</v>
      </c>
      <c r="J320" s="1">
        <v>123.5</v>
      </c>
      <c r="K320" s="1">
        <v>159.6</v>
      </c>
      <c r="L320" s="1">
        <v>117.4</v>
      </c>
      <c r="M320" s="1">
        <v>101.2</v>
      </c>
      <c r="N320" s="1">
        <v>123.8</v>
      </c>
      <c r="O320" s="1">
        <v>115.2</v>
      </c>
      <c r="P320" s="1">
        <v>125.9</v>
      </c>
      <c r="Q320" s="1">
        <v>125.8</v>
      </c>
      <c r="R320" s="1">
        <v>124.3</v>
      </c>
      <c r="S320" s="1">
        <v>119.6</v>
      </c>
      <c r="T320" s="1">
        <v>114.9</v>
      </c>
      <c r="U320" s="1">
        <v>118.9</v>
      </c>
      <c r="V320" s="1">
        <v>116.7</v>
      </c>
      <c r="W320" s="1">
        <v>112</v>
      </c>
      <c r="X320" s="1">
        <v>115.8</v>
      </c>
      <c r="Y320" s="1">
        <v>112.6</v>
      </c>
      <c r="Z320" s="1">
        <v>111</v>
      </c>
      <c r="AA320" s="1">
        <v>113.6</v>
      </c>
      <c r="AB320" s="1">
        <v>120.2</v>
      </c>
      <c r="AC320" s="1">
        <v>110.1</v>
      </c>
      <c r="AD320" s="1">
        <v>113.7</v>
      </c>
      <c r="AE320" s="1">
        <v>119.1</v>
      </c>
    </row>
    <row r="321" spans="1:31" x14ac:dyDescent="0.25">
      <c r="A321" s="1" t="s">
        <v>33</v>
      </c>
      <c r="B321" s="1">
        <v>2014</v>
      </c>
      <c r="C321" s="1" t="s">
        <v>45</v>
      </c>
      <c r="D321" s="1" t="s">
        <v>106</v>
      </c>
      <c r="E321" s="1">
        <v>124</v>
      </c>
      <c r="F321" s="1">
        <v>124.7</v>
      </c>
      <c r="G321" s="1">
        <v>126.3</v>
      </c>
      <c r="H321" s="1">
        <v>124.9</v>
      </c>
      <c r="I321" s="1">
        <v>103</v>
      </c>
      <c r="J321" s="1">
        <v>122.3</v>
      </c>
      <c r="K321" s="1">
        <v>141</v>
      </c>
      <c r="L321" s="1">
        <v>120.1</v>
      </c>
      <c r="M321" s="1">
        <v>97.8</v>
      </c>
      <c r="N321" s="1">
        <v>125.4</v>
      </c>
      <c r="O321" s="1">
        <v>116.1</v>
      </c>
      <c r="P321" s="1">
        <v>127.6</v>
      </c>
      <c r="Q321" s="1">
        <v>124</v>
      </c>
      <c r="R321" s="1">
        <v>126.4</v>
      </c>
      <c r="S321" s="1">
        <v>120.7</v>
      </c>
      <c r="T321" s="1">
        <v>115.8</v>
      </c>
      <c r="U321" s="1">
        <v>120</v>
      </c>
      <c r="V321" s="1">
        <v>116.5</v>
      </c>
      <c r="W321" s="1">
        <v>113</v>
      </c>
      <c r="X321" s="1">
        <v>116.8</v>
      </c>
      <c r="Y321" s="1">
        <v>113.2</v>
      </c>
      <c r="Z321" s="1">
        <v>108.8</v>
      </c>
      <c r="AA321" s="1">
        <v>114.3</v>
      </c>
      <c r="AB321" s="1">
        <v>120.7</v>
      </c>
      <c r="AC321" s="1">
        <v>110.4</v>
      </c>
      <c r="AD321" s="1">
        <v>113.4</v>
      </c>
      <c r="AE321" s="1">
        <v>118.4</v>
      </c>
    </row>
    <row r="322" spans="1:31" x14ac:dyDescent="0.25">
      <c r="A322" s="1" t="s">
        <v>33</v>
      </c>
      <c r="B322" s="1">
        <v>2014</v>
      </c>
      <c r="C322" s="1" t="s">
        <v>44</v>
      </c>
      <c r="D322" s="1" t="s">
        <v>105</v>
      </c>
      <c r="E322" s="1">
        <v>124.5</v>
      </c>
      <c r="F322" s="1">
        <v>125.6</v>
      </c>
      <c r="G322" s="1">
        <v>122.7</v>
      </c>
      <c r="H322" s="1">
        <v>124.6</v>
      </c>
      <c r="I322" s="1">
        <v>103.2</v>
      </c>
      <c r="J322" s="1">
        <v>122.2</v>
      </c>
      <c r="K322" s="1">
        <v>153.19999999999999</v>
      </c>
      <c r="L322" s="1">
        <v>119.3</v>
      </c>
      <c r="M322" s="1">
        <v>99.8</v>
      </c>
      <c r="N322" s="1">
        <v>124.6</v>
      </c>
      <c r="O322" s="1">
        <v>115.8</v>
      </c>
      <c r="P322" s="1">
        <v>126.9</v>
      </c>
      <c r="Q322" s="1">
        <v>125.4</v>
      </c>
      <c r="R322" s="1">
        <v>125.8</v>
      </c>
      <c r="S322" s="1">
        <v>120.3</v>
      </c>
      <c r="T322" s="1">
        <v>115.4</v>
      </c>
      <c r="U322" s="1">
        <v>119.5</v>
      </c>
      <c r="V322" s="1">
        <v>117.1</v>
      </c>
      <c r="W322" s="1">
        <v>112.6</v>
      </c>
      <c r="X322" s="1">
        <v>116.4</v>
      </c>
      <c r="Y322" s="1">
        <v>113</v>
      </c>
      <c r="Z322" s="1">
        <v>109.7</v>
      </c>
      <c r="AA322" s="1">
        <v>114</v>
      </c>
      <c r="AB322" s="1">
        <v>120.3</v>
      </c>
      <c r="AC322" s="1">
        <v>109.6</v>
      </c>
      <c r="AD322" s="1">
        <v>113.4</v>
      </c>
      <c r="AE322" s="1">
        <v>119</v>
      </c>
    </row>
    <row r="323" spans="1:31" x14ac:dyDescent="0.25">
      <c r="A323" s="1" t="s">
        <v>33</v>
      </c>
      <c r="B323" s="1">
        <v>2015</v>
      </c>
      <c r="C323" s="1" t="s">
        <v>35</v>
      </c>
      <c r="D323" s="1" t="s">
        <v>108</v>
      </c>
      <c r="E323" s="1">
        <v>124.3</v>
      </c>
      <c r="F323" s="1">
        <v>126.5</v>
      </c>
      <c r="G323" s="1">
        <v>119.5</v>
      </c>
      <c r="H323" s="1">
        <v>125.6</v>
      </c>
      <c r="I323" s="1">
        <v>104.9</v>
      </c>
      <c r="J323" s="1">
        <v>121.6</v>
      </c>
      <c r="K323" s="1">
        <v>131.80000000000001</v>
      </c>
      <c r="L323" s="1">
        <v>125.1</v>
      </c>
      <c r="M323" s="1">
        <v>95</v>
      </c>
      <c r="N323" s="1">
        <v>127.7</v>
      </c>
      <c r="O323" s="1">
        <v>116.8</v>
      </c>
      <c r="P323" s="1">
        <v>128.6</v>
      </c>
      <c r="Q323" s="1">
        <v>123.7</v>
      </c>
      <c r="R323" s="1">
        <v>128.1</v>
      </c>
      <c r="S323" s="1">
        <v>121.3</v>
      </c>
      <c r="T323" s="1">
        <v>116.5</v>
      </c>
      <c r="U323" s="1">
        <v>120.6</v>
      </c>
      <c r="V323" s="1">
        <v>118.1</v>
      </c>
      <c r="W323" s="1">
        <v>114</v>
      </c>
      <c r="X323" s="1">
        <v>117.7</v>
      </c>
      <c r="Y323" s="1">
        <v>114.1</v>
      </c>
      <c r="Z323" s="1">
        <v>106.8</v>
      </c>
      <c r="AA323" s="1">
        <v>114.9</v>
      </c>
      <c r="AB323" s="1">
        <v>120.4</v>
      </c>
      <c r="AC323" s="1">
        <v>111.7</v>
      </c>
      <c r="AD323" s="1">
        <v>113.2</v>
      </c>
      <c r="AE323" s="1">
        <v>118.7</v>
      </c>
    </row>
    <row r="324" spans="1:31" x14ac:dyDescent="0.25">
      <c r="A324" s="1" t="s">
        <v>33</v>
      </c>
      <c r="B324" s="1">
        <v>2015</v>
      </c>
      <c r="C324" s="1" t="s">
        <v>31</v>
      </c>
      <c r="D324" s="1" t="s">
        <v>107</v>
      </c>
      <c r="E324" s="1">
        <v>124</v>
      </c>
      <c r="F324" s="1">
        <v>125.5</v>
      </c>
      <c r="G324" s="1">
        <v>126.6</v>
      </c>
      <c r="H324" s="1">
        <v>125.2</v>
      </c>
      <c r="I324" s="1">
        <v>104.3</v>
      </c>
      <c r="J324" s="1">
        <v>121.3</v>
      </c>
      <c r="K324" s="1">
        <v>134.4</v>
      </c>
      <c r="L324" s="1">
        <v>122.9</v>
      </c>
      <c r="M324" s="1">
        <v>96.1</v>
      </c>
      <c r="N324" s="1">
        <v>126.6</v>
      </c>
      <c r="O324" s="1">
        <v>116.5</v>
      </c>
      <c r="P324" s="1">
        <v>128</v>
      </c>
      <c r="Q324" s="1">
        <v>123.5</v>
      </c>
      <c r="R324" s="1">
        <v>127.4</v>
      </c>
      <c r="S324" s="1">
        <v>121</v>
      </c>
      <c r="T324" s="1">
        <v>116.1</v>
      </c>
      <c r="U324" s="1">
        <v>120.2</v>
      </c>
      <c r="V324" s="1">
        <v>117.3</v>
      </c>
      <c r="W324" s="1">
        <v>113.4</v>
      </c>
      <c r="X324" s="1">
        <v>117.2</v>
      </c>
      <c r="Y324" s="1">
        <v>113.7</v>
      </c>
      <c r="Z324" s="1">
        <v>107.9</v>
      </c>
      <c r="AA324" s="1">
        <v>114.6</v>
      </c>
      <c r="AB324" s="1">
        <v>120.8</v>
      </c>
      <c r="AC324" s="1">
        <v>111.4</v>
      </c>
      <c r="AD324" s="1">
        <v>113.4</v>
      </c>
      <c r="AE324" s="1">
        <v>118.5</v>
      </c>
    </row>
    <row r="325" spans="1:31" x14ac:dyDescent="0.25">
      <c r="A325" s="1" t="s">
        <v>33</v>
      </c>
      <c r="B325" s="1">
        <v>2015</v>
      </c>
      <c r="C325" s="1" t="s">
        <v>45</v>
      </c>
      <c r="D325" s="1" t="s">
        <v>118</v>
      </c>
      <c r="E325" s="1">
        <v>124.3</v>
      </c>
      <c r="F325" s="1">
        <v>131.69999999999999</v>
      </c>
      <c r="G325" s="1">
        <v>127.1</v>
      </c>
      <c r="H325" s="1">
        <v>128.6</v>
      </c>
      <c r="I325" s="1">
        <v>110</v>
      </c>
      <c r="J325" s="1">
        <v>120.8</v>
      </c>
      <c r="K325" s="1">
        <v>149</v>
      </c>
      <c r="L325" s="1">
        <v>190.1</v>
      </c>
      <c r="M325" s="1">
        <v>92.7</v>
      </c>
      <c r="N325" s="1">
        <v>138.6</v>
      </c>
      <c r="O325" s="1">
        <v>120.2</v>
      </c>
      <c r="P325" s="1">
        <v>134.19999999999999</v>
      </c>
      <c r="Q325" s="1">
        <v>131.5</v>
      </c>
      <c r="R325" s="1">
        <v>138.19999999999999</v>
      </c>
      <c r="S325" s="1">
        <v>125.4</v>
      </c>
      <c r="T325" s="1">
        <v>119.5</v>
      </c>
      <c r="U325" s="1">
        <v>124.5</v>
      </c>
      <c r="V325" s="1">
        <v>122.4</v>
      </c>
      <c r="W325" s="1">
        <v>116</v>
      </c>
      <c r="X325" s="1">
        <v>121</v>
      </c>
      <c r="Y325" s="1">
        <v>118.6</v>
      </c>
      <c r="Z325" s="1">
        <v>109.3</v>
      </c>
      <c r="AA325" s="1">
        <v>118.1</v>
      </c>
      <c r="AB325" s="1">
        <v>126.6</v>
      </c>
      <c r="AC325" s="1">
        <v>113.2</v>
      </c>
      <c r="AD325" s="1">
        <v>116.7</v>
      </c>
      <c r="AE325" s="1">
        <v>124</v>
      </c>
    </row>
    <row r="326" spans="1:31" x14ac:dyDescent="0.25">
      <c r="A326" s="1" t="s">
        <v>33</v>
      </c>
      <c r="B326" s="1">
        <v>2016</v>
      </c>
      <c r="C326" s="1" t="s">
        <v>36</v>
      </c>
      <c r="D326" s="1" t="s">
        <v>121</v>
      </c>
      <c r="E326" s="1">
        <v>124.8</v>
      </c>
      <c r="F326" s="1">
        <v>136.30000000000001</v>
      </c>
      <c r="G326" s="1">
        <v>123.7</v>
      </c>
      <c r="H326" s="1">
        <v>129.69999999999999</v>
      </c>
      <c r="I326" s="1">
        <v>107.9</v>
      </c>
      <c r="J326" s="1">
        <v>119.9</v>
      </c>
      <c r="K326" s="1">
        <v>128.1</v>
      </c>
      <c r="L326" s="1">
        <v>170.3</v>
      </c>
      <c r="M326" s="1">
        <v>101.8</v>
      </c>
      <c r="N326" s="1">
        <v>140.1</v>
      </c>
      <c r="O326" s="1">
        <v>120.7</v>
      </c>
      <c r="P326" s="1">
        <v>135.4</v>
      </c>
      <c r="Q326" s="1">
        <v>128.9</v>
      </c>
      <c r="R326" s="1">
        <v>140.6</v>
      </c>
      <c r="S326" s="1">
        <v>126.4</v>
      </c>
      <c r="T326" s="1">
        <v>120.3</v>
      </c>
      <c r="U326" s="1">
        <v>125.5</v>
      </c>
      <c r="V326" s="1">
        <v>124.9</v>
      </c>
      <c r="W326" s="1">
        <v>114.8</v>
      </c>
      <c r="X326" s="1">
        <v>122.3</v>
      </c>
      <c r="Y326" s="1">
        <v>119.7</v>
      </c>
      <c r="Z326" s="1">
        <v>108.5</v>
      </c>
      <c r="AA326" s="1">
        <v>119.1</v>
      </c>
      <c r="AB326" s="1">
        <v>126.4</v>
      </c>
      <c r="AC326" s="1">
        <v>117.1</v>
      </c>
      <c r="AD326" s="1">
        <v>117.3</v>
      </c>
      <c r="AE326" s="1">
        <v>123.8</v>
      </c>
    </row>
    <row r="327" spans="1:31" x14ac:dyDescent="0.25">
      <c r="A327" s="1" t="s">
        <v>30</v>
      </c>
      <c r="B327" s="1">
        <v>2014</v>
      </c>
      <c r="C327" s="1" t="s">
        <v>36</v>
      </c>
      <c r="D327" s="1" t="s">
        <v>97</v>
      </c>
      <c r="E327" s="1">
        <v>120.1</v>
      </c>
      <c r="F327" s="1">
        <v>118.1</v>
      </c>
      <c r="G327" s="1">
        <v>120.7</v>
      </c>
      <c r="H327" s="1">
        <v>116.1</v>
      </c>
      <c r="I327" s="1">
        <v>109.3</v>
      </c>
      <c r="J327" s="1">
        <v>119.6</v>
      </c>
      <c r="K327" s="1">
        <v>117.9</v>
      </c>
      <c r="L327" s="1">
        <v>110.2</v>
      </c>
      <c r="M327" s="1">
        <v>101.2</v>
      </c>
      <c r="N327" s="1">
        <v>110.7</v>
      </c>
      <c r="O327" s="1">
        <v>113</v>
      </c>
      <c r="P327" s="1">
        <v>118.3</v>
      </c>
      <c r="Q327" s="1">
        <v>116.2</v>
      </c>
      <c r="R327" s="1">
        <v>114.6</v>
      </c>
      <c r="S327" s="1">
        <v>117.5</v>
      </c>
      <c r="T327" s="1">
        <v>114.9</v>
      </c>
      <c r="U327" s="1">
        <v>117.2</v>
      </c>
      <c r="V327" s="14">
        <v>113.2</v>
      </c>
      <c r="W327" s="1">
        <v>113.4</v>
      </c>
      <c r="X327" s="1">
        <v>113.4</v>
      </c>
      <c r="Y327" s="1">
        <v>111.4</v>
      </c>
      <c r="Z327" s="1">
        <v>111.2</v>
      </c>
      <c r="AA327" s="1">
        <v>110.2</v>
      </c>
      <c r="AB327" s="1">
        <v>112.4</v>
      </c>
      <c r="AC327" s="1">
        <v>108.9</v>
      </c>
      <c r="AD327" s="1">
        <v>111.3</v>
      </c>
      <c r="AE327" s="1">
        <v>114.6</v>
      </c>
    </row>
    <row r="328" spans="1:31" x14ac:dyDescent="0.25">
      <c r="A328" s="1" t="s">
        <v>33</v>
      </c>
      <c r="B328" s="1">
        <v>2016</v>
      </c>
      <c r="C328" s="1" t="s">
        <v>31</v>
      </c>
      <c r="D328" s="1" t="s">
        <v>119</v>
      </c>
      <c r="E328" s="1">
        <v>124.7</v>
      </c>
      <c r="F328" s="1">
        <v>135.9</v>
      </c>
      <c r="G328" s="1">
        <v>132</v>
      </c>
      <c r="H328" s="1">
        <v>129.19999999999999</v>
      </c>
      <c r="I328" s="1">
        <v>109.7</v>
      </c>
      <c r="J328" s="1">
        <v>119</v>
      </c>
      <c r="K328" s="1">
        <v>144.1</v>
      </c>
      <c r="L328" s="1">
        <v>184.2</v>
      </c>
      <c r="M328" s="1">
        <v>96.7</v>
      </c>
      <c r="N328" s="1">
        <v>139.5</v>
      </c>
      <c r="O328" s="1">
        <v>120.5</v>
      </c>
      <c r="P328" s="1">
        <v>134.69999999999999</v>
      </c>
      <c r="Q328" s="1">
        <v>131.19999999999999</v>
      </c>
      <c r="R328" s="1">
        <v>139.5</v>
      </c>
      <c r="S328" s="1">
        <v>125.8</v>
      </c>
      <c r="T328" s="1">
        <v>119.8</v>
      </c>
      <c r="U328" s="1">
        <v>124.9</v>
      </c>
      <c r="V328" s="1">
        <v>123.4</v>
      </c>
      <c r="W328" s="1">
        <v>116.9</v>
      </c>
      <c r="X328" s="1">
        <v>121.6</v>
      </c>
      <c r="Y328" s="1">
        <v>119.1</v>
      </c>
      <c r="Z328" s="1">
        <v>108.9</v>
      </c>
      <c r="AA328" s="1">
        <v>118.5</v>
      </c>
      <c r="AB328" s="1">
        <v>126.4</v>
      </c>
      <c r="AC328" s="1">
        <v>114</v>
      </c>
      <c r="AD328" s="1">
        <v>116.8</v>
      </c>
      <c r="AE328" s="1">
        <v>124.2</v>
      </c>
    </row>
    <row r="329" spans="1:31" x14ac:dyDescent="0.25">
      <c r="A329" s="1" t="s">
        <v>34</v>
      </c>
      <c r="B329" s="1">
        <v>2014</v>
      </c>
      <c r="C329" s="1" t="s">
        <v>36</v>
      </c>
      <c r="D329" s="1" t="s">
        <v>97</v>
      </c>
      <c r="E329" s="1">
        <v>120.7</v>
      </c>
      <c r="F329" s="1">
        <v>119.3</v>
      </c>
      <c r="G329" s="1">
        <v>121</v>
      </c>
      <c r="H329" s="1">
        <v>116.1</v>
      </c>
      <c r="I329" s="1">
        <v>106.9</v>
      </c>
      <c r="J329" s="1">
        <v>118.7</v>
      </c>
      <c r="K329" s="1">
        <v>116.3</v>
      </c>
      <c r="L329" s="1">
        <v>109.8</v>
      </c>
      <c r="M329" s="1">
        <v>99.6</v>
      </c>
      <c r="N329" s="1">
        <v>111.8</v>
      </c>
      <c r="O329" s="1">
        <v>112.7</v>
      </c>
      <c r="P329" s="1">
        <v>119.3</v>
      </c>
      <c r="Q329" s="1">
        <v>116.1</v>
      </c>
      <c r="R329" s="1">
        <v>115.2</v>
      </c>
      <c r="S329" s="1">
        <v>116.8</v>
      </c>
      <c r="T329" s="1">
        <v>113.7</v>
      </c>
      <c r="U329" s="1">
        <v>116.4</v>
      </c>
      <c r="V329" s="1">
        <v>113.2</v>
      </c>
      <c r="W329" s="1">
        <v>112.5</v>
      </c>
      <c r="X329" s="1">
        <v>113.2</v>
      </c>
      <c r="Y329" s="1">
        <v>111.2</v>
      </c>
      <c r="Z329" s="1">
        <v>111.4</v>
      </c>
      <c r="AA329" s="1">
        <v>110.6</v>
      </c>
      <c r="AB329" s="1">
        <v>112</v>
      </c>
      <c r="AC329" s="1">
        <v>109</v>
      </c>
      <c r="AD329" s="1">
        <v>111.3</v>
      </c>
      <c r="AE329" s="1">
        <v>114.2</v>
      </c>
    </row>
    <row r="330" spans="1:31" x14ac:dyDescent="0.25">
      <c r="A330" s="1" t="s">
        <v>33</v>
      </c>
      <c r="B330" s="1">
        <v>2016</v>
      </c>
      <c r="C330" s="1" t="s">
        <v>35</v>
      </c>
      <c r="D330" s="1" t="s">
        <v>120</v>
      </c>
      <c r="E330" s="1">
        <v>124.8</v>
      </c>
      <c r="F330" s="1">
        <v>135.1</v>
      </c>
      <c r="G330" s="1">
        <v>130.30000000000001</v>
      </c>
      <c r="H330" s="1">
        <v>129.6</v>
      </c>
      <c r="I330" s="1">
        <v>108.4</v>
      </c>
      <c r="J330" s="1">
        <v>118.6</v>
      </c>
      <c r="K330" s="1">
        <v>129.19999999999999</v>
      </c>
      <c r="L330" s="1">
        <v>176.4</v>
      </c>
      <c r="M330" s="1">
        <v>99.1</v>
      </c>
      <c r="N330" s="1">
        <v>139.69999999999999</v>
      </c>
      <c r="O330" s="1">
        <v>120.6</v>
      </c>
      <c r="P330" s="1">
        <v>135.19999999999999</v>
      </c>
      <c r="Q330" s="1">
        <v>129.1</v>
      </c>
      <c r="R330" s="1">
        <v>140</v>
      </c>
      <c r="S330" s="1">
        <v>126.2</v>
      </c>
      <c r="T330" s="1">
        <v>120.1</v>
      </c>
      <c r="U330" s="1">
        <v>125.3</v>
      </c>
      <c r="V330" s="1">
        <v>124.4</v>
      </c>
      <c r="W330" s="1">
        <v>116</v>
      </c>
      <c r="X330" s="1">
        <v>121.8</v>
      </c>
      <c r="Y330" s="1">
        <v>119.5</v>
      </c>
      <c r="Z330" s="1">
        <v>109.1</v>
      </c>
      <c r="AA330" s="1">
        <v>118.8</v>
      </c>
      <c r="AB330" s="1">
        <v>126.3</v>
      </c>
      <c r="AC330" s="1">
        <v>116.2</v>
      </c>
      <c r="AD330" s="1">
        <v>117.2</v>
      </c>
      <c r="AE330" s="1">
        <v>123.8</v>
      </c>
    </row>
    <row r="331" spans="1:31" x14ac:dyDescent="0.25">
      <c r="A331" s="1" t="s">
        <v>33</v>
      </c>
      <c r="B331" s="1">
        <v>2014</v>
      </c>
      <c r="C331" s="1" t="s">
        <v>36</v>
      </c>
      <c r="D331" s="1" t="s">
        <v>97</v>
      </c>
      <c r="E331" s="1">
        <v>122.1</v>
      </c>
      <c r="F331" s="1">
        <v>121.4</v>
      </c>
      <c r="G331" s="1">
        <v>121.5</v>
      </c>
      <c r="H331" s="1">
        <v>116.2</v>
      </c>
      <c r="I331" s="1">
        <v>102.8</v>
      </c>
      <c r="J331" s="1">
        <v>117.7</v>
      </c>
      <c r="K331" s="1">
        <v>113.3</v>
      </c>
      <c r="L331" s="1">
        <v>108.9</v>
      </c>
      <c r="M331" s="1">
        <v>96.3</v>
      </c>
      <c r="N331" s="1">
        <v>114.1</v>
      </c>
      <c r="O331" s="1">
        <v>112.2</v>
      </c>
      <c r="P331" s="1">
        <v>120.5</v>
      </c>
      <c r="Q331" s="1">
        <v>116</v>
      </c>
      <c r="R331" s="1">
        <v>116.7</v>
      </c>
      <c r="S331" s="1">
        <v>115.8</v>
      </c>
      <c r="T331" s="1">
        <v>112.1</v>
      </c>
      <c r="U331" s="1">
        <v>115.2</v>
      </c>
      <c r="V331" s="1">
        <v>113.2</v>
      </c>
      <c r="W331" s="1">
        <v>110.9</v>
      </c>
      <c r="X331" s="1">
        <v>113</v>
      </c>
      <c r="Y331" s="1">
        <v>110.8</v>
      </c>
      <c r="Z331" s="1">
        <v>111.6</v>
      </c>
      <c r="AA331" s="1">
        <v>110.9</v>
      </c>
      <c r="AB331" s="1">
        <v>111.8</v>
      </c>
      <c r="AC331" s="1">
        <v>109.2</v>
      </c>
      <c r="AD331" s="1">
        <v>111.4</v>
      </c>
      <c r="AE331" s="1">
        <v>113.7</v>
      </c>
    </row>
    <row r="332" spans="1:31" x14ac:dyDescent="0.25">
      <c r="A332" s="1" t="s">
        <v>30</v>
      </c>
      <c r="B332" s="1">
        <v>2013</v>
      </c>
      <c r="C332" s="1" t="s">
        <v>44</v>
      </c>
      <c r="D332" s="1" t="s">
        <v>93</v>
      </c>
      <c r="E332" s="1">
        <v>117.3</v>
      </c>
      <c r="F332" s="1">
        <v>114.9</v>
      </c>
      <c r="G332" s="1">
        <v>116.2</v>
      </c>
      <c r="H332" s="1">
        <v>112.8</v>
      </c>
      <c r="I332" s="1">
        <v>108.9</v>
      </c>
      <c r="J332" s="1">
        <v>116.6</v>
      </c>
      <c r="K332" s="1">
        <v>178.1</v>
      </c>
      <c r="L332" s="1">
        <v>109.1</v>
      </c>
      <c r="M332" s="1">
        <v>103.6</v>
      </c>
      <c r="N332" s="1">
        <v>109</v>
      </c>
      <c r="O332" s="1">
        <v>111.8</v>
      </c>
      <c r="P332" s="1">
        <v>116</v>
      </c>
      <c r="Q332" s="1">
        <v>122.5</v>
      </c>
      <c r="R332" s="1">
        <v>112.8</v>
      </c>
      <c r="S332" s="1">
        <v>114.6</v>
      </c>
      <c r="T332" s="1">
        <v>113.1</v>
      </c>
      <c r="U332" s="1">
        <v>114.4</v>
      </c>
      <c r="V332" s="14">
        <v>111.1</v>
      </c>
      <c r="W332" s="1">
        <v>112.6</v>
      </c>
      <c r="X332" s="1">
        <v>111.3</v>
      </c>
      <c r="Y332" s="1">
        <v>109.7</v>
      </c>
      <c r="Z332" s="1">
        <v>109.6</v>
      </c>
      <c r="AA332" s="1">
        <v>108.7</v>
      </c>
      <c r="AB332" s="1">
        <v>111</v>
      </c>
      <c r="AC332" s="1">
        <v>108.2</v>
      </c>
      <c r="AD332" s="1">
        <v>109.8</v>
      </c>
      <c r="AE332" s="1">
        <v>117.4</v>
      </c>
    </row>
    <row r="333" spans="1:31" x14ac:dyDescent="0.25">
      <c r="A333" s="1" t="s">
        <v>30</v>
      </c>
      <c r="B333" s="1">
        <v>2014</v>
      </c>
      <c r="C333" s="1" t="s">
        <v>35</v>
      </c>
      <c r="D333" s="1" t="s">
        <v>96</v>
      </c>
      <c r="E333" s="1">
        <v>119.4</v>
      </c>
      <c r="F333" s="1">
        <v>117.7</v>
      </c>
      <c r="G333" s="1">
        <v>121.2</v>
      </c>
      <c r="H333" s="1">
        <v>115</v>
      </c>
      <c r="I333" s="1">
        <v>109</v>
      </c>
      <c r="J333" s="1">
        <v>116.6</v>
      </c>
      <c r="K333" s="1">
        <v>116</v>
      </c>
      <c r="L333" s="1">
        <v>109.8</v>
      </c>
      <c r="M333" s="1">
        <v>101.1</v>
      </c>
      <c r="N333" s="1">
        <v>110.4</v>
      </c>
      <c r="O333" s="1">
        <v>112.9</v>
      </c>
      <c r="P333" s="1">
        <v>117.8</v>
      </c>
      <c r="Q333" s="1">
        <v>115.3</v>
      </c>
      <c r="R333" s="1">
        <v>114.2</v>
      </c>
      <c r="S333" s="1">
        <v>117.1</v>
      </c>
      <c r="T333" s="1">
        <v>114.5</v>
      </c>
      <c r="U333" s="1">
        <v>116.7</v>
      </c>
      <c r="V333" s="14">
        <v>112.5</v>
      </c>
      <c r="W333" s="1">
        <v>113.2</v>
      </c>
      <c r="X333" s="1">
        <v>112.9</v>
      </c>
      <c r="Y333" s="1">
        <v>110.9</v>
      </c>
      <c r="Z333" s="1">
        <v>110.8</v>
      </c>
      <c r="AA333" s="1">
        <v>109.9</v>
      </c>
      <c r="AB333" s="1">
        <v>112</v>
      </c>
      <c r="AC333" s="1">
        <v>108.7</v>
      </c>
      <c r="AD333" s="1">
        <v>110.9</v>
      </c>
      <c r="AE333" s="1">
        <v>114</v>
      </c>
    </row>
    <row r="334" spans="1:31" x14ac:dyDescent="0.25">
      <c r="A334" s="1" t="s">
        <v>30</v>
      </c>
      <c r="B334" s="1">
        <v>2013</v>
      </c>
      <c r="C334" s="1" t="s">
        <v>45</v>
      </c>
      <c r="D334" s="1" t="s">
        <v>94</v>
      </c>
      <c r="E334" s="1">
        <v>118.4</v>
      </c>
      <c r="F334" s="1">
        <v>115.9</v>
      </c>
      <c r="G334" s="1">
        <v>120.4</v>
      </c>
      <c r="H334" s="1">
        <v>113.8</v>
      </c>
      <c r="I334" s="1">
        <v>109.5</v>
      </c>
      <c r="J334" s="1">
        <v>115.5</v>
      </c>
      <c r="K334" s="1">
        <v>145.69999999999999</v>
      </c>
      <c r="L334" s="1">
        <v>109.5</v>
      </c>
      <c r="M334" s="1">
        <v>102.9</v>
      </c>
      <c r="N334" s="1">
        <v>109.8</v>
      </c>
      <c r="O334" s="1">
        <v>112.1</v>
      </c>
      <c r="P334" s="1">
        <v>116.8</v>
      </c>
      <c r="Q334" s="1">
        <v>118.7</v>
      </c>
      <c r="R334" s="1">
        <v>113.6</v>
      </c>
      <c r="S334" s="1">
        <v>115.8</v>
      </c>
      <c r="T334" s="1">
        <v>114</v>
      </c>
      <c r="U334" s="1">
        <v>115.5</v>
      </c>
      <c r="V334" s="14">
        <v>110.7</v>
      </c>
      <c r="W334" s="1">
        <v>112.8</v>
      </c>
      <c r="X334" s="1">
        <v>112.1</v>
      </c>
      <c r="Y334" s="1">
        <v>110.1</v>
      </c>
      <c r="Z334" s="1">
        <v>109.9</v>
      </c>
      <c r="AA334" s="1">
        <v>109.2</v>
      </c>
      <c r="AB334" s="1">
        <v>111.6</v>
      </c>
      <c r="AC334" s="1">
        <v>108.1</v>
      </c>
      <c r="AD334" s="1">
        <v>110.1</v>
      </c>
      <c r="AE334" s="1">
        <v>115.5</v>
      </c>
    </row>
    <row r="335" spans="1:31" x14ac:dyDescent="0.25">
      <c r="A335" s="1" t="s">
        <v>30</v>
      </c>
      <c r="B335" s="1">
        <v>2014</v>
      </c>
      <c r="C335" s="1" t="s">
        <v>31</v>
      </c>
      <c r="D335" s="1" t="s">
        <v>95</v>
      </c>
      <c r="E335" s="1">
        <v>118.9</v>
      </c>
      <c r="F335" s="1">
        <v>117.1</v>
      </c>
      <c r="G335" s="1">
        <v>120.5</v>
      </c>
      <c r="H335" s="1">
        <v>114.4</v>
      </c>
      <c r="I335" s="1">
        <v>109</v>
      </c>
      <c r="J335" s="1">
        <v>115.5</v>
      </c>
      <c r="K335" s="1">
        <v>123.9</v>
      </c>
      <c r="L335" s="1">
        <v>109.6</v>
      </c>
      <c r="M335" s="1">
        <v>101.8</v>
      </c>
      <c r="N335" s="1">
        <v>110.2</v>
      </c>
      <c r="O335" s="1">
        <v>112.4</v>
      </c>
      <c r="P335" s="1">
        <v>117.3</v>
      </c>
      <c r="Q335" s="1">
        <v>116</v>
      </c>
      <c r="R335" s="1">
        <v>114</v>
      </c>
      <c r="S335" s="1">
        <v>116.5</v>
      </c>
      <c r="T335" s="1">
        <v>114.5</v>
      </c>
      <c r="U335" s="1">
        <v>116.2</v>
      </c>
      <c r="V335" s="14">
        <v>111.6</v>
      </c>
      <c r="W335" s="1">
        <v>113</v>
      </c>
      <c r="X335" s="1">
        <v>112.6</v>
      </c>
      <c r="Y335" s="1">
        <v>110.6</v>
      </c>
      <c r="Z335" s="1">
        <v>110.5</v>
      </c>
      <c r="AA335" s="1">
        <v>109.6</v>
      </c>
      <c r="AB335" s="1">
        <v>111.8</v>
      </c>
      <c r="AC335" s="1">
        <v>108.3</v>
      </c>
      <c r="AD335" s="1">
        <v>110.6</v>
      </c>
      <c r="AE335" s="1">
        <v>114.2</v>
      </c>
    </row>
    <row r="336" spans="1:31" x14ac:dyDescent="0.25">
      <c r="A336" s="1" t="s">
        <v>34</v>
      </c>
      <c r="B336" s="1">
        <v>2014</v>
      </c>
      <c r="C336" s="1" t="s">
        <v>35</v>
      </c>
      <c r="D336" s="1" t="s">
        <v>96</v>
      </c>
      <c r="E336" s="1">
        <v>120.2</v>
      </c>
      <c r="F336" s="1">
        <v>119.2</v>
      </c>
      <c r="G336" s="1">
        <v>122.5</v>
      </c>
      <c r="H336" s="1">
        <v>115.1</v>
      </c>
      <c r="I336" s="1">
        <v>106.6</v>
      </c>
      <c r="J336" s="1">
        <v>115.4</v>
      </c>
      <c r="K336" s="1">
        <v>114.5</v>
      </c>
      <c r="L336" s="1">
        <v>109.3</v>
      </c>
      <c r="M336" s="1">
        <v>99.2</v>
      </c>
      <c r="N336" s="1">
        <v>111.4</v>
      </c>
      <c r="O336" s="1">
        <v>112.6</v>
      </c>
      <c r="P336" s="1">
        <v>118.8</v>
      </c>
      <c r="Q336" s="1">
        <v>115.3</v>
      </c>
      <c r="R336" s="1">
        <v>114.7</v>
      </c>
      <c r="S336" s="1">
        <v>116.4</v>
      </c>
      <c r="T336" s="1">
        <v>113.3</v>
      </c>
      <c r="U336" s="1">
        <v>115.9</v>
      </c>
      <c r="V336" s="1">
        <v>112.5</v>
      </c>
      <c r="W336" s="1">
        <v>112.4</v>
      </c>
      <c r="X336" s="1">
        <v>112.8</v>
      </c>
      <c r="Y336" s="1">
        <v>110.7</v>
      </c>
      <c r="Z336" s="1">
        <v>111.1</v>
      </c>
      <c r="AA336" s="1">
        <v>110.1</v>
      </c>
      <c r="AB336" s="1">
        <v>111.8</v>
      </c>
      <c r="AC336" s="1">
        <v>108.7</v>
      </c>
      <c r="AD336" s="1">
        <v>110.9</v>
      </c>
      <c r="AE336" s="1">
        <v>113.6</v>
      </c>
    </row>
    <row r="337" spans="1:31" x14ac:dyDescent="0.25">
      <c r="A337" s="1" t="s">
        <v>33</v>
      </c>
      <c r="B337" s="1">
        <v>2014</v>
      </c>
      <c r="C337" s="1" t="s">
        <v>35</v>
      </c>
      <c r="D337" s="1" t="s">
        <v>96</v>
      </c>
      <c r="E337" s="1">
        <v>121.9</v>
      </c>
      <c r="F337" s="1">
        <v>122</v>
      </c>
      <c r="G337" s="1">
        <v>124.5</v>
      </c>
      <c r="H337" s="1">
        <v>115.2</v>
      </c>
      <c r="I337" s="1">
        <v>102.5</v>
      </c>
      <c r="J337" s="1">
        <v>114.1</v>
      </c>
      <c r="K337" s="1">
        <v>111.5</v>
      </c>
      <c r="L337" s="1">
        <v>108.2</v>
      </c>
      <c r="M337" s="1">
        <v>95.4</v>
      </c>
      <c r="N337" s="1">
        <v>113.5</v>
      </c>
      <c r="O337" s="1">
        <v>112.1</v>
      </c>
      <c r="P337" s="1">
        <v>119.9</v>
      </c>
      <c r="Q337" s="1">
        <v>115.2</v>
      </c>
      <c r="R337" s="1">
        <v>116.2</v>
      </c>
      <c r="S337" s="1">
        <v>115.3</v>
      </c>
      <c r="T337" s="1">
        <v>111.7</v>
      </c>
      <c r="U337" s="1">
        <v>114.7</v>
      </c>
      <c r="V337" s="1">
        <v>112.5</v>
      </c>
      <c r="W337" s="1">
        <v>111.1</v>
      </c>
      <c r="X337" s="1">
        <v>112.6</v>
      </c>
      <c r="Y337" s="1">
        <v>110.4</v>
      </c>
      <c r="Z337" s="1">
        <v>111.3</v>
      </c>
      <c r="AA337" s="1">
        <v>110.3</v>
      </c>
      <c r="AB337" s="1">
        <v>111.6</v>
      </c>
      <c r="AC337" s="1">
        <v>108.7</v>
      </c>
      <c r="AD337" s="1">
        <v>111</v>
      </c>
      <c r="AE337" s="1">
        <v>113.1</v>
      </c>
    </row>
    <row r="338" spans="1:31" x14ac:dyDescent="0.25">
      <c r="A338" s="1" t="s">
        <v>34</v>
      </c>
      <c r="B338" s="1">
        <v>2014</v>
      </c>
      <c r="C338" s="1" t="s">
        <v>31</v>
      </c>
      <c r="D338" s="1" t="s">
        <v>95</v>
      </c>
      <c r="E338" s="1">
        <v>119.6</v>
      </c>
      <c r="F338" s="1">
        <v>118.8</v>
      </c>
      <c r="G338" s="1">
        <v>124.1</v>
      </c>
      <c r="H338" s="1">
        <v>114.1</v>
      </c>
      <c r="I338" s="1">
        <v>106.8</v>
      </c>
      <c r="J338" s="1">
        <v>113.9</v>
      </c>
      <c r="K338" s="1">
        <v>122.2</v>
      </c>
      <c r="L338" s="1">
        <v>108.9</v>
      </c>
      <c r="M338" s="1">
        <v>100.2</v>
      </c>
      <c r="N338" s="1">
        <v>111</v>
      </c>
      <c r="O338" s="1">
        <v>112.3</v>
      </c>
      <c r="P338" s="1">
        <v>118.1</v>
      </c>
      <c r="Q338" s="1">
        <v>115.8</v>
      </c>
      <c r="R338" s="1">
        <v>114.5</v>
      </c>
      <c r="S338" s="1">
        <v>115.8</v>
      </c>
      <c r="T338" s="1">
        <v>113.2</v>
      </c>
      <c r="U338" s="1">
        <v>115.4</v>
      </c>
      <c r="V338" s="1">
        <v>111.6</v>
      </c>
      <c r="W338" s="1">
        <v>112.2</v>
      </c>
      <c r="X338" s="1">
        <v>112.3</v>
      </c>
      <c r="Y338" s="1">
        <v>110.3</v>
      </c>
      <c r="Z338" s="1">
        <v>110.7</v>
      </c>
      <c r="AA338" s="1">
        <v>109.7</v>
      </c>
      <c r="AB338" s="1">
        <v>111.6</v>
      </c>
      <c r="AC338" s="1">
        <v>108.2</v>
      </c>
      <c r="AD338" s="1">
        <v>110.6</v>
      </c>
      <c r="AE338" s="1">
        <v>113.6</v>
      </c>
    </row>
    <row r="339" spans="1:31" x14ac:dyDescent="0.25">
      <c r="A339" s="1" t="s">
        <v>34</v>
      </c>
      <c r="B339" s="1">
        <v>2013</v>
      </c>
      <c r="C339" s="1" t="s">
        <v>44</v>
      </c>
      <c r="D339" s="1" t="s">
        <v>93</v>
      </c>
      <c r="E339" s="1">
        <v>118.1</v>
      </c>
      <c r="F339" s="1">
        <v>115.4</v>
      </c>
      <c r="G339" s="1">
        <v>118.7</v>
      </c>
      <c r="H339" s="1">
        <v>112.5</v>
      </c>
      <c r="I339" s="1">
        <v>106.8</v>
      </c>
      <c r="J339" s="1">
        <v>113.5</v>
      </c>
      <c r="K339" s="1">
        <v>183.1</v>
      </c>
      <c r="L339" s="1">
        <v>108.2</v>
      </c>
      <c r="M339" s="1">
        <v>102.2</v>
      </c>
      <c r="N339" s="1">
        <v>109.4</v>
      </c>
      <c r="O339" s="1">
        <v>111.8</v>
      </c>
      <c r="P339" s="1">
        <v>116.5</v>
      </c>
      <c r="Q339" s="1">
        <v>122.6</v>
      </c>
      <c r="R339" s="1">
        <v>113.1</v>
      </c>
      <c r="S339" s="1">
        <v>114.2</v>
      </c>
      <c r="T339" s="1">
        <v>111.9</v>
      </c>
      <c r="U339" s="1">
        <v>113.8</v>
      </c>
      <c r="V339" s="1">
        <v>111.1</v>
      </c>
      <c r="W339" s="1">
        <v>111.6</v>
      </c>
      <c r="X339" s="1">
        <v>111.1</v>
      </c>
      <c r="Y339" s="1">
        <v>109.3</v>
      </c>
      <c r="Z339" s="1">
        <v>109.5</v>
      </c>
      <c r="AA339" s="1">
        <v>108.6</v>
      </c>
      <c r="AB339" s="1">
        <v>111.2</v>
      </c>
      <c r="AC339" s="1">
        <v>108.1</v>
      </c>
      <c r="AD339" s="1">
        <v>109.7</v>
      </c>
      <c r="AE339" s="1">
        <v>116.3</v>
      </c>
    </row>
    <row r="340" spans="1:31" x14ac:dyDescent="0.25">
      <c r="A340" s="1" t="s">
        <v>34</v>
      </c>
      <c r="B340" s="1">
        <v>2013</v>
      </c>
      <c r="C340" s="1" t="s">
        <v>45</v>
      </c>
      <c r="D340" s="1" t="s">
        <v>94</v>
      </c>
      <c r="E340" s="1">
        <v>119.1</v>
      </c>
      <c r="F340" s="1">
        <v>116.7</v>
      </c>
      <c r="G340" s="1">
        <v>123.5</v>
      </c>
      <c r="H340" s="1">
        <v>113.4</v>
      </c>
      <c r="I340" s="1">
        <v>107.3</v>
      </c>
      <c r="J340" s="1">
        <v>113.3</v>
      </c>
      <c r="K340" s="1">
        <v>145.4</v>
      </c>
      <c r="L340" s="1">
        <v>108.7</v>
      </c>
      <c r="M340" s="1">
        <v>101.5</v>
      </c>
      <c r="N340" s="1">
        <v>110.5</v>
      </c>
      <c r="O340" s="1">
        <v>112.1</v>
      </c>
      <c r="P340" s="1">
        <v>117.4</v>
      </c>
      <c r="Q340" s="1">
        <v>118.4</v>
      </c>
      <c r="R340" s="1">
        <v>114</v>
      </c>
      <c r="S340" s="1">
        <v>115.2</v>
      </c>
      <c r="T340" s="1">
        <v>112.7</v>
      </c>
      <c r="U340" s="1">
        <v>114.8</v>
      </c>
      <c r="V340" s="1">
        <v>110.7</v>
      </c>
      <c r="W340" s="1">
        <v>111.9</v>
      </c>
      <c r="X340" s="1">
        <v>111.7</v>
      </c>
      <c r="Y340" s="1">
        <v>109.7</v>
      </c>
      <c r="Z340" s="1">
        <v>109.8</v>
      </c>
      <c r="AA340" s="1">
        <v>109</v>
      </c>
      <c r="AB340" s="1">
        <v>111.5</v>
      </c>
      <c r="AC340" s="1">
        <v>107.9</v>
      </c>
      <c r="AD340" s="1">
        <v>110</v>
      </c>
      <c r="AE340" s="1">
        <v>114.5</v>
      </c>
    </row>
    <row r="341" spans="1:31" x14ac:dyDescent="0.25">
      <c r="A341" s="1" t="s">
        <v>33</v>
      </c>
      <c r="B341" s="1">
        <v>2013</v>
      </c>
      <c r="C341" s="1" t="s">
        <v>40</v>
      </c>
      <c r="D341" s="1" t="s">
        <v>89</v>
      </c>
      <c r="E341" s="1">
        <v>117.8</v>
      </c>
      <c r="F341" s="1">
        <v>119.2</v>
      </c>
      <c r="G341" s="1">
        <v>114</v>
      </c>
      <c r="H341" s="1">
        <v>108.3</v>
      </c>
      <c r="I341" s="1">
        <v>101.1</v>
      </c>
      <c r="J341" s="1">
        <v>113.2</v>
      </c>
      <c r="K341" s="1">
        <v>160.9</v>
      </c>
      <c r="L341" s="1">
        <v>105.1</v>
      </c>
      <c r="M341" s="1">
        <v>101.3</v>
      </c>
      <c r="N341" s="1">
        <v>107.5</v>
      </c>
      <c r="O341" s="1">
        <v>110.4</v>
      </c>
      <c r="P341" s="1">
        <v>113.1</v>
      </c>
      <c r="Q341" s="1">
        <v>117.5</v>
      </c>
      <c r="R341" s="1">
        <v>111.7</v>
      </c>
      <c r="S341" s="1">
        <v>109.8</v>
      </c>
      <c r="T341" s="1">
        <v>107.8</v>
      </c>
      <c r="U341" s="1">
        <v>109.5</v>
      </c>
      <c r="V341" s="1">
        <v>107.7</v>
      </c>
      <c r="W341" s="1">
        <v>108.6</v>
      </c>
      <c r="X341" s="1">
        <v>108.1</v>
      </c>
      <c r="Y341" s="1">
        <v>107.1</v>
      </c>
      <c r="Z341" s="1">
        <v>107.3</v>
      </c>
      <c r="AA341" s="1">
        <v>105.9</v>
      </c>
      <c r="AB341" s="1">
        <v>110.1</v>
      </c>
      <c r="AC341" s="1">
        <v>103.2</v>
      </c>
      <c r="AD341" s="1">
        <v>107.3</v>
      </c>
      <c r="AE341" s="1">
        <v>111.4</v>
      </c>
    </row>
    <row r="342" spans="1:31" x14ac:dyDescent="0.25">
      <c r="A342" s="1" t="s">
        <v>30</v>
      </c>
      <c r="B342" s="1">
        <v>2013</v>
      </c>
      <c r="C342" s="1" t="s">
        <v>43</v>
      </c>
      <c r="D342" s="1" t="s">
        <v>92</v>
      </c>
      <c r="E342" s="1">
        <v>116.3</v>
      </c>
      <c r="F342" s="1">
        <v>115.4</v>
      </c>
      <c r="G342" s="1">
        <v>112.6</v>
      </c>
      <c r="H342" s="1">
        <v>111.7</v>
      </c>
      <c r="I342" s="1">
        <v>107.7</v>
      </c>
      <c r="J342" s="1">
        <v>113.2</v>
      </c>
      <c r="K342" s="1">
        <v>164.9</v>
      </c>
      <c r="L342" s="1">
        <v>108.3</v>
      </c>
      <c r="M342" s="1">
        <v>103.9</v>
      </c>
      <c r="N342" s="1">
        <v>108.2</v>
      </c>
      <c r="O342" s="1">
        <v>111.1</v>
      </c>
      <c r="P342" s="1">
        <v>114.9</v>
      </c>
      <c r="Q342" s="1">
        <v>119.8</v>
      </c>
      <c r="R342" s="1">
        <v>112.2</v>
      </c>
      <c r="S342" s="1">
        <v>113.6</v>
      </c>
      <c r="T342" s="1">
        <v>112.3</v>
      </c>
      <c r="U342" s="1">
        <v>113.4</v>
      </c>
      <c r="V342" s="14">
        <v>110.5</v>
      </c>
      <c r="W342" s="1">
        <v>111.6</v>
      </c>
      <c r="X342" s="1">
        <v>110.4</v>
      </c>
      <c r="Y342" s="1">
        <v>108.9</v>
      </c>
      <c r="Z342" s="1">
        <v>109.3</v>
      </c>
      <c r="AA342" s="1">
        <v>108.3</v>
      </c>
      <c r="AB342" s="1">
        <v>110.2</v>
      </c>
      <c r="AC342" s="1">
        <v>107.5</v>
      </c>
      <c r="AD342" s="1">
        <v>109.1</v>
      </c>
      <c r="AE342" s="1">
        <v>115.5</v>
      </c>
    </row>
    <row r="343" spans="1:31" x14ac:dyDescent="0.25">
      <c r="A343" s="1" t="s">
        <v>33</v>
      </c>
      <c r="B343" s="1">
        <v>2013</v>
      </c>
      <c r="C343" s="1" t="s">
        <v>39</v>
      </c>
      <c r="D343" s="1" t="s">
        <v>88</v>
      </c>
      <c r="E343" s="1">
        <v>117</v>
      </c>
      <c r="F343" s="1">
        <v>120.1</v>
      </c>
      <c r="G343" s="1">
        <v>112.5</v>
      </c>
      <c r="H343" s="1">
        <v>107.3</v>
      </c>
      <c r="I343" s="1">
        <v>101.3</v>
      </c>
      <c r="J343" s="1">
        <v>112.4</v>
      </c>
      <c r="K343" s="1">
        <v>143.6</v>
      </c>
      <c r="L343" s="1">
        <v>105.4</v>
      </c>
      <c r="M343" s="1">
        <v>101.4</v>
      </c>
      <c r="N343" s="1">
        <v>106.4</v>
      </c>
      <c r="O343" s="1">
        <v>110</v>
      </c>
      <c r="P343" s="1">
        <v>112.2</v>
      </c>
      <c r="Q343" s="1">
        <v>115</v>
      </c>
      <c r="R343" s="1">
        <v>110.9</v>
      </c>
      <c r="S343" s="1">
        <v>109.2</v>
      </c>
      <c r="T343" s="1">
        <v>107.2</v>
      </c>
      <c r="U343" s="1">
        <v>108.9</v>
      </c>
      <c r="V343" s="1">
        <v>106.6</v>
      </c>
      <c r="W343" s="1">
        <v>108</v>
      </c>
      <c r="X343" s="1">
        <v>107.7</v>
      </c>
      <c r="Y343" s="1">
        <v>106.5</v>
      </c>
      <c r="Z343" s="1">
        <v>105.2</v>
      </c>
      <c r="AA343" s="1">
        <v>105.2</v>
      </c>
      <c r="AB343" s="1">
        <v>108.1</v>
      </c>
      <c r="AC343" s="1">
        <v>103.3</v>
      </c>
      <c r="AD343" s="1">
        <v>106.1</v>
      </c>
      <c r="AE343" s="1">
        <v>109.7</v>
      </c>
    </row>
    <row r="344" spans="1:31" x14ac:dyDescent="0.25">
      <c r="A344" s="1" t="s">
        <v>33</v>
      </c>
      <c r="B344" s="1">
        <v>2014</v>
      </c>
      <c r="C344" s="1" t="s">
        <v>31</v>
      </c>
      <c r="D344" s="1" t="s">
        <v>95</v>
      </c>
      <c r="E344" s="1">
        <v>121.2</v>
      </c>
      <c r="F344" s="1">
        <v>122</v>
      </c>
      <c r="G344" s="1">
        <v>129.9</v>
      </c>
      <c r="H344" s="1">
        <v>113.6</v>
      </c>
      <c r="I344" s="1">
        <v>102.9</v>
      </c>
      <c r="J344" s="1">
        <v>112.1</v>
      </c>
      <c r="K344" s="1">
        <v>118.9</v>
      </c>
      <c r="L344" s="1">
        <v>107.5</v>
      </c>
      <c r="M344" s="1">
        <v>96.9</v>
      </c>
      <c r="N344" s="1">
        <v>112.7</v>
      </c>
      <c r="O344" s="1">
        <v>112.1</v>
      </c>
      <c r="P344" s="1">
        <v>119</v>
      </c>
      <c r="Q344" s="1">
        <v>115.5</v>
      </c>
      <c r="R344" s="1">
        <v>115.7</v>
      </c>
      <c r="S344" s="1">
        <v>114.8</v>
      </c>
      <c r="T344" s="1">
        <v>111.3</v>
      </c>
      <c r="U344" s="1">
        <v>114.3</v>
      </c>
      <c r="V344" s="1">
        <v>111.6</v>
      </c>
      <c r="W344" s="1">
        <v>111</v>
      </c>
      <c r="X344" s="1">
        <v>111.9</v>
      </c>
      <c r="Y344" s="1">
        <v>109.7</v>
      </c>
      <c r="Z344" s="1">
        <v>110.8</v>
      </c>
      <c r="AA344" s="1">
        <v>109.8</v>
      </c>
      <c r="AB344" s="1">
        <v>111.5</v>
      </c>
      <c r="AC344" s="1">
        <v>108</v>
      </c>
      <c r="AD344" s="1">
        <v>110.5</v>
      </c>
      <c r="AE344" s="1">
        <v>112.9</v>
      </c>
    </row>
    <row r="345" spans="1:31" x14ac:dyDescent="0.25">
      <c r="A345" s="1" t="s">
        <v>34</v>
      </c>
      <c r="B345" s="1">
        <v>2013</v>
      </c>
      <c r="C345" s="1" t="s">
        <v>40</v>
      </c>
      <c r="D345" s="1" t="s">
        <v>89</v>
      </c>
      <c r="E345" s="1">
        <v>114.8</v>
      </c>
      <c r="F345" s="1">
        <v>116.4</v>
      </c>
      <c r="G345" s="1">
        <v>111.9</v>
      </c>
      <c r="H345" s="1">
        <v>108.9</v>
      </c>
      <c r="I345" s="1">
        <v>104.3</v>
      </c>
      <c r="J345" s="1">
        <v>111.7</v>
      </c>
      <c r="K345" s="1">
        <v>140</v>
      </c>
      <c r="L345" s="1">
        <v>106.4</v>
      </c>
      <c r="M345" s="1">
        <v>103.3</v>
      </c>
      <c r="N345" s="1">
        <v>106.8</v>
      </c>
      <c r="O345" s="1">
        <v>109.6</v>
      </c>
      <c r="P345" s="1">
        <v>112.6</v>
      </c>
      <c r="Q345" s="1">
        <v>114.7</v>
      </c>
      <c r="R345" s="1">
        <v>110.3</v>
      </c>
      <c r="S345" s="1">
        <v>110.2</v>
      </c>
      <c r="T345" s="1">
        <v>108.8</v>
      </c>
      <c r="U345" s="1">
        <v>110</v>
      </c>
      <c r="V345" s="1">
        <v>107.7</v>
      </c>
      <c r="W345" s="1">
        <v>109.2</v>
      </c>
      <c r="X345" s="1">
        <v>108.2</v>
      </c>
      <c r="Y345" s="1">
        <v>107</v>
      </c>
      <c r="Z345" s="1">
        <v>107.1</v>
      </c>
      <c r="AA345" s="1">
        <v>106.1</v>
      </c>
      <c r="AB345" s="1">
        <v>109.1</v>
      </c>
      <c r="AC345" s="1">
        <v>102.8</v>
      </c>
      <c r="AD345" s="1">
        <v>106.9</v>
      </c>
      <c r="AE345" s="1">
        <v>111</v>
      </c>
    </row>
    <row r="346" spans="1:31" x14ac:dyDescent="0.25">
      <c r="A346" s="1" t="s">
        <v>30</v>
      </c>
      <c r="B346" s="1">
        <v>2013</v>
      </c>
      <c r="C346" s="1" t="s">
        <v>42</v>
      </c>
      <c r="D346" s="1" t="s">
        <v>91</v>
      </c>
      <c r="E346" s="1">
        <v>115.4</v>
      </c>
      <c r="F346" s="1">
        <v>115.7</v>
      </c>
      <c r="G346" s="1">
        <v>111.7</v>
      </c>
      <c r="H346" s="1">
        <v>111</v>
      </c>
      <c r="I346" s="1">
        <v>107.4</v>
      </c>
      <c r="J346" s="1">
        <v>110.9</v>
      </c>
      <c r="K346" s="1">
        <v>154</v>
      </c>
      <c r="L346" s="1">
        <v>108.1</v>
      </c>
      <c r="M346" s="1">
        <v>104.2</v>
      </c>
      <c r="N346" s="1">
        <v>107.9</v>
      </c>
      <c r="O346" s="1">
        <v>110.4</v>
      </c>
      <c r="P346" s="1">
        <v>114</v>
      </c>
      <c r="Q346" s="1">
        <v>117.8</v>
      </c>
      <c r="R346" s="1">
        <v>111.7</v>
      </c>
      <c r="S346" s="1">
        <v>112.7</v>
      </c>
      <c r="T346" s="1">
        <v>111.4</v>
      </c>
      <c r="U346" s="1">
        <v>112.5</v>
      </c>
      <c r="V346" s="14">
        <v>109.7</v>
      </c>
      <c r="W346" s="1">
        <v>111.1</v>
      </c>
      <c r="X346" s="1">
        <v>109.6</v>
      </c>
      <c r="Y346" s="1">
        <v>108.3</v>
      </c>
      <c r="Z346" s="1">
        <v>109.3</v>
      </c>
      <c r="AA346" s="1">
        <v>107.7</v>
      </c>
      <c r="AB346" s="1">
        <v>109.8</v>
      </c>
      <c r="AC346" s="1">
        <v>106.7</v>
      </c>
      <c r="AD346" s="1">
        <v>108.7</v>
      </c>
      <c r="AE346" s="1">
        <v>114.2</v>
      </c>
    </row>
    <row r="347" spans="1:31" x14ac:dyDescent="0.25">
      <c r="A347" s="1" t="s">
        <v>30</v>
      </c>
      <c r="B347" s="1">
        <v>2013</v>
      </c>
      <c r="C347" s="1" t="s">
        <v>41</v>
      </c>
      <c r="D347" s="1" t="s">
        <v>90</v>
      </c>
      <c r="E347" s="1">
        <v>114.3</v>
      </c>
      <c r="F347" s="1">
        <v>115.4</v>
      </c>
      <c r="G347" s="1">
        <v>111.1</v>
      </c>
      <c r="H347" s="1">
        <v>110</v>
      </c>
      <c r="I347" s="1">
        <v>106.4</v>
      </c>
      <c r="J347" s="1">
        <v>110.8</v>
      </c>
      <c r="K347" s="1">
        <v>138.9</v>
      </c>
      <c r="L347" s="1">
        <v>107.4</v>
      </c>
      <c r="M347" s="1">
        <v>104.1</v>
      </c>
      <c r="N347" s="1">
        <v>106.9</v>
      </c>
      <c r="O347" s="1">
        <v>109.7</v>
      </c>
      <c r="P347" s="1">
        <v>112.6</v>
      </c>
      <c r="Q347" s="1">
        <v>114.9</v>
      </c>
      <c r="R347" s="1">
        <v>110.7</v>
      </c>
      <c r="S347" s="1">
        <v>111.3</v>
      </c>
      <c r="T347" s="1">
        <v>110.2</v>
      </c>
      <c r="U347" s="1">
        <v>111.1</v>
      </c>
      <c r="V347" s="14">
        <v>108.9</v>
      </c>
      <c r="W347" s="1">
        <v>109.9</v>
      </c>
      <c r="X347" s="1">
        <v>108.7</v>
      </c>
      <c r="Y347" s="1">
        <v>107.5</v>
      </c>
      <c r="Z347" s="1">
        <v>107.8</v>
      </c>
      <c r="AA347" s="1">
        <v>106.8</v>
      </c>
      <c r="AB347" s="1">
        <v>108.7</v>
      </c>
      <c r="AC347" s="1">
        <v>105</v>
      </c>
      <c r="AD347" s="1">
        <v>107.5</v>
      </c>
      <c r="AE347" s="1">
        <v>112.1</v>
      </c>
    </row>
    <row r="348" spans="1:31" x14ac:dyDescent="0.25">
      <c r="A348" s="1" t="s">
        <v>34</v>
      </c>
      <c r="B348" s="1">
        <v>2013</v>
      </c>
      <c r="C348" s="1" t="s">
        <v>39</v>
      </c>
      <c r="D348" s="1" t="s">
        <v>88</v>
      </c>
      <c r="E348" s="1">
        <v>113.8</v>
      </c>
      <c r="F348" s="1">
        <v>114.9</v>
      </c>
      <c r="G348" s="1">
        <v>109.8</v>
      </c>
      <c r="H348" s="1">
        <v>107.9</v>
      </c>
      <c r="I348" s="1">
        <v>104.2</v>
      </c>
      <c r="J348" s="1">
        <v>110.7</v>
      </c>
      <c r="K348" s="1">
        <v>126.7</v>
      </c>
      <c r="L348" s="1">
        <v>106.3</v>
      </c>
      <c r="M348" s="1">
        <v>103.2</v>
      </c>
      <c r="N348" s="1">
        <v>105.7</v>
      </c>
      <c r="O348" s="1">
        <v>109</v>
      </c>
      <c r="P348" s="1">
        <v>111.6</v>
      </c>
      <c r="Q348" s="1">
        <v>112.2</v>
      </c>
      <c r="R348" s="1">
        <v>109.5</v>
      </c>
      <c r="S348" s="1">
        <v>109.5</v>
      </c>
      <c r="T348" s="1">
        <v>108.1</v>
      </c>
      <c r="U348" s="1">
        <v>109.3</v>
      </c>
      <c r="V348" s="1">
        <v>106.6</v>
      </c>
      <c r="W348" s="1">
        <v>108.3</v>
      </c>
      <c r="X348" s="1">
        <v>107.6</v>
      </c>
      <c r="Y348" s="1">
        <v>106.4</v>
      </c>
      <c r="Z348" s="1">
        <v>105.1</v>
      </c>
      <c r="AA348" s="1">
        <v>105.4</v>
      </c>
      <c r="AB348" s="1">
        <v>107.4</v>
      </c>
      <c r="AC348" s="1">
        <v>102.8</v>
      </c>
      <c r="AD348" s="1">
        <v>105.8</v>
      </c>
      <c r="AE348" s="1">
        <v>109.3</v>
      </c>
    </row>
    <row r="349" spans="1:31" x14ac:dyDescent="0.25">
      <c r="A349" s="1" t="s">
        <v>33</v>
      </c>
      <c r="B349" s="1">
        <v>2013</v>
      </c>
      <c r="C349" s="1" t="s">
        <v>45</v>
      </c>
      <c r="D349" s="1" t="s">
        <v>94</v>
      </c>
      <c r="E349" s="1">
        <v>120.5</v>
      </c>
      <c r="F349" s="1">
        <v>118.1</v>
      </c>
      <c r="G349" s="1">
        <v>128.5</v>
      </c>
      <c r="H349" s="1">
        <v>112.8</v>
      </c>
      <c r="I349" s="1">
        <v>103.4</v>
      </c>
      <c r="J349" s="1">
        <v>110.7</v>
      </c>
      <c r="K349" s="1">
        <v>144.80000000000001</v>
      </c>
      <c r="L349" s="1">
        <v>107.1</v>
      </c>
      <c r="M349" s="1">
        <v>98.6</v>
      </c>
      <c r="N349" s="1">
        <v>111.9</v>
      </c>
      <c r="O349" s="1">
        <v>112.1</v>
      </c>
      <c r="P349" s="1">
        <v>118.1</v>
      </c>
      <c r="Q349" s="1">
        <v>117.8</v>
      </c>
      <c r="R349" s="1">
        <v>115</v>
      </c>
      <c r="S349" s="1">
        <v>114.2</v>
      </c>
      <c r="T349" s="1">
        <v>110.9</v>
      </c>
      <c r="U349" s="1">
        <v>113.7</v>
      </c>
      <c r="V349" s="1">
        <v>110.7</v>
      </c>
      <c r="W349" s="1">
        <v>110.4</v>
      </c>
      <c r="X349" s="1">
        <v>111.3</v>
      </c>
      <c r="Y349" s="1">
        <v>109</v>
      </c>
      <c r="Z349" s="1">
        <v>109.7</v>
      </c>
      <c r="AA349" s="1">
        <v>108.9</v>
      </c>
      <c r="AB349" s="1">
        <v>111.4</v>
      </c>
      <c r="AC349" s="1">
        <v>107.7</v>
      </c>
      <c r="AD349" s="1">
        <v>109.8</v>
      </c>
      <c r="AE349" s="1">
        <v>113.3</v>
      </c>
    </row>
    <row r="350" spans="1:31" x14ac:dyDescent="0.25">
      <c r="A350" s="1" t="s">
        <v>33</v>
      </c>
      <c r="B350" s="1">
        <v>2013</v>
      </c>
      <c r="C350" s="1" t="s">
        <v>38</v>
      </c>
      <c r="D350" s="1" t="s">
        <v>87</v>
      </c>
      <c r="E350" s="1">
        <v>115.4</v>
      </c>
      <c r="F350" s="1">
        <v>114.2</v>
      </c>
      <c r="G350" s="1">
        <v>102.7</v>
      </c>
      <c r="H350" s="1">
        <v>105.5</v>
      </c>
      <c r="I350" s="1">
        <v>101.5</v>
      </c>
      <c r="J350" s="1">
        <v>110.6</v>
      </c>
      <c r="K350" s="1">
        <v>123.7</v>
      </c>
      <c r="L350" s="1">
        <v>105.2</v>
      </c>
      <c r="M350" s="1">
        <v>101.9</v>
      </c>
      <c r="N350" s="1">
        <v>105</v>
      </c>
      <c r="O350" s="1">
        <v>109.1</v>
      </c>
      <c r="P350" s="1">
        <v>111.3</v>
      </c>
      <c r="Q350" s="1">
        <v>111.1</v>
      </c>
      <c r="R350" s="1">
        <v>109.8</v>
      </c>
      <c r="S350" s="1">
        <v>108.5</v>
      </c>
      <c r="T350" s="1">
        <v>106.7</v>
      </c>
      <c r="U350" s="1">
        <v>108.3</v>
      </c>
      <c r="V350" s="1">
        <v>100.5</v>
      </c>
      <c r="W350" s="1">
        <v>107.2</v>
      </c>
      <c r="X350" s="1">
        <v>107.1</v>
      </c>
      <c r="Y350" s="1">
        <v>106.2</v>
      </c>
      <c r="Z350" s="1">
        <v>103.9</v>
      </c>
      <c r="AA350" s="1">
        <v>104.6</v>
      </c>
      <c r="AB350" s="1">
        <v>105.7</v>
      </c>
      <c r="AC350" s="1">
        <v>102.6</v>
      </c>
      <c r="AD350" s="1">
        <v>104.9</v>
      </c>
      <c r="AE350" s="1">
        <v>106.6</v>
      </c>
    </row>
    <row r="351" spans="1:31" x14ac:dyDescent="0.25">
      <c r="A351" s="1" t="s">
        <v>30</v>
      </c>
      <c r="B351" s="1">
        <v>2013</v>
      </c>
      <c r="C351" s="1" t="s">
        <v>40</v>
      </c>
      <c r="D351" s="1" t="s">
        <v>89</v>
      </c>
      <c r="E351" s="1">
        <v>113.4</v>
      </c>
      <c r="F351" s="1">
        <v>114.9</v>
      </c>
      <c r="G351" s="1">
        <v>110.5</v>
      </c>
      <c r="H351" s="1">
        <v>109.3</v>
      </c>
      <c r="I351" s="1">
        <v>106.2</v>
      </c>
      <c r="J351" s="1">
        <v>110.3</v>
      </c>
      <c r="K351" s="1">
        <v>129.19999999999999</v>
      </c>
      <c r="L351" s="1">
        <v>107.1</v>
      </c>
      <c r="M351" s="1">
        <v>104.3</v>
      </c>
      <c r="N351" s="1">
        <v>106.4</v>
      </c>
      <c r="O351" s="1">
        <v>109.1</v>
      </c>
      <c r="P351" s="1">
        <v>112.1</v>
      </c>
      <c r="Q351" s="1">
        <v>113.1</v>
      </c>
      <c r="R351" s="1">
        <v>109.8</v>
      </c>
      <c r="S351" s="1">
        <v>110.5</v>
      </c>
      <c r="T351" s="1">
        <v>109.5</v>
      </c>
      <c r="U351" s="1">
        <v>110.3</v>
      </c>
      <c r="V351" s="14">
        <v>107.7</v>
      </c>
      <c r="W351" s="1">
        <v>109.5</v>
      </c>
      <c r="X351" s="1">
        <v>108.3</v>
      </c>
      <c r="Y351" s="1">
        <v>106.9</v>
      </c>
      <c r="Z351" s="1">
        <v>106.8</v>
      </c>
      <c r="AA351" s="1">
        <v>106.4</v>
      </c>
      <c r="AB351" s="1">
        <v>107.8</v>
      </c>
      <c r="AC351" s="1">
        <v>102.5</v>
      </c>
      <c r="AD351" s="1">
        <v>106.5</v>
      </c>
      <c r="AE351" s="1">
        <v>110.7</v>
      </c>
    </row>
    <row r="352" spans="1:31" x14ac:dyDescent="0.25">
      <c r="A352" s="1" t="s">
        <v>33</v>
      </c>
      <c r="B352" s="1">
        <v>2013</v>
      </c>
      <c r="C352" s="1" t="s">
        <v>44</v>
      </c>
      <c r="D352" s="1" t="s">
        <v>93</v>
      </c>
      <c r="E352" s="1">
        <v>119.8</v>
      </c>
      <c r="F352" s="1">
        <v>116.3</v>
      </c>
      <c r="G352" s="1">
        <v>122.6</v>
      </c>
      <c r="H352" s="1">
        <v>112</v>
      </c>
      <c r="I352" s="1">
        <v>103.2</v>
      </c>
      <c r="J352" s="1">
        <v>110</v>
      </c>
      <c r="K352" s="1">
        <v>192.8</v>
      </c>
      <c r="L352" s="1">
        <v>106.3</v>
      </c>
      <c r="M352" s="1">
        <v>99.5</v>
      </c>
      <c r="N352" s="1">
        <v>110.3</v>
      </c>
      <c r="O352" s="1">
        <v>111.8</v>
      </c>
      <c r="P352" s="1">
        <v>117.1</v>
      </c>
      <c r="Q352" s="1">
        <v>122.9</v>
      </c>
      <c r="R352" s="1">
        <v>114.1</v>
      </c>
      <c r="S352" s="1">
        <v>113.5</v>
      </c>
      <c r="T352" s="1">
        <v>110.3</v>
      </c>
      <c r="U352" s="1">
        <v>113</v>
      </c>
      <c r="V352" s="1">
        <v>111.1</v>
      </c>
      <c r="W352" s="1">
        <v>110</v>
      </c>
      <c r="X352" s="1">
        <v>110.9</v>
      </c>
      <c r="Y352" s="1">
        <v>108.6</v>
      </c>
      <c r="Z352" s="1">
        <v>109.5</v>
      </c>
      <c r="AA352" s="1">
        <v>108.5</v>
      </c>
      <c r="AB352" s="1">
        <v>111.3</v>
      </c>
      <c r="AC352" s="1">
        <v>107.9</v>
      </c>
      <c r="AD352" s="1">
        <v>109.6</v>
      </c>
      <c r="AE352" s="1">
        <v>115</v>
      </c>
    </row>
    <row r="353" spans="1:31" x14ac:dyDescent="0.25">
      <c r="A353" s="1" t="s">
        <v>34</v>
      </c>
      <c r="B353" s="1">
        <v>2013</v>
      </c>
      <c r="C353" s="1" t="s">
        <v>43</v>
      </c>
      <c r="D353" s="1" t="s">
        <v>92</v>
      </c>
      <c r="E353" s="1">
        <v>117.1</v>
      </c>
      <c r="F353" s="1">
        <v>116.3</v>
      </c>
      <c r="G353" s="1">
        <v>113.3</v>
      </c>
      <c r="H353" s="1">
        <v>111.2</v>
      </c>
      <c r="I353" s="1">
        <v>105.7</v>
      </c>
      <c r="J353" s="1">
        <v>109.9</v>
      </c>
      <c r="K353" s="1">
        <v>171.2</v>
      </c>
      <c r="L353" s="1">
        <v>107.3</v>
      </c>
      <c r="M353" s="1">
        <v>102.7</v>
      </c>
      <c r="N353" s="1">
        <v>108.7</v>
      </c>
      <c r="O353" s="1">
        <v>111.2</v>
      </c>
      <c r="P353" s="1">
        <v>115.4</v>
      </c>
      <c r="Q353" s="1">
        <v>120.2</v>
      </c>
      <c r="R353" s="1">
        <v>112.5</v>
      </c>
      <c r="S353" s="1">
        <v>113.2</v>
      </c>
      <c r="T353" s="1">
        <v>111.2</v>
      </c>
      <c r="U353" s="1">
        <v>112.8</v>
      </c>
      <c r="V353" s="1">
        <v>110.5</v>
      </c>
      <c r="W353" s="1">
        <v>110.9</v>
      </c>
      <c r="X353" s="1">
        <v>110.3</v>
      </c>
      <c r="Y353" s="1">
        <v>108.6</v>
      </c>
      <c r="Z353" s="1">
        <v>109.5</v>
      </c>
      <c r="AA353" s="1">
        <v>108.1</v>
      </c>
      <c r="AB353" s="1">
        <v>110.8</v>
      </c>
      <c r="AC353" s="1">
        <v>107.4</v>
      </c>
      <c r="AD353" s="1">
        <v>109.2</v>
      </c>
      <c r="AE353" s="1">
        <v>114.8</v>
      </c>
    </row>
    <row r="354" spans="1:31" x14ac:dyDescent="0.25">
      <c r="A354" s="1" t="s">
        <v>34</v>
      </c>
      <c r="B354" s="1">
        <v>2013</v>
      </c>
      <c r="C354" s="1" t="s">
        <v>41</v>
      </c>
      <c r="D354" s="1" t="s">
        <v>90</v>
      </c>
      <c r="E354" s="1">
        <v>115.6</v>
      </c>
      <c r="F354" s="1">
        <v>117.2</v>
      </c>
      <c r="G354" s="1">
        <v>111.7</v>
      </c>
      <c r="H354" s="1">
        <v>109.6</v>
      </c>
      <c r="I354" s="1">
        <v>104.5</v>
      </c>
      <c r="J354" s="1">
        <v>109.8</v>
      </c>
      <c r="K354" s="1">
        <v>151.80000000000001</v>
      </c>
      <c r="L354" s="1">
        <v>106.5</v>
      </c>
      <c r="M354" s="1">
        <v>103.1</v>
      </c>
      <c r="N354" s="1">
        <v>107.4</v>
      </c>
      <c r="O354" s="1">
        <v>110.2</v>
      </c>
      <c r="P354" s="1">
        <v>113.4</v>
      </c>
      <c r="Q354" s="1">
        <v>116.6</v>
      </c>
      <c r="R354" s="1">
        <v>111.2</v>
      </c>
      <c r="S354" s="1">
        <v>111</v>
      </c>
      <c r="T354" s="1">
        <v>109.4</v>
      </c>
      <c r="U354" s="1">
        <v>110.7</v>
      </c>
      <c r="V354" s="1">
        <v>108.9</v>
      </c>
      <c r="W354" s="1">
        <v>109.7</v>
      </c>
      <c r="X354" s="1">
        <v>108.7</v>
      </c>
      <c r="Y354" s="1">
        <v>107.5</v>
      </c>
      <c r="Z354" s="1">
        <v>108</v>
      </c>
      <c r="AA354" s="1">
        <v>106.6</v>
      </c>
      <c r="AB354" s="1">
        <v>109.9</v>
      </c>
      <c r="AC354" s="1">
        <v>105.4</v>
      </c>
      <c r="AD354" s="1">
        <v>107.9</v>
      </c>
      <c r="AE354" s="1">
        <v>112.4</v>
      </c>
    </row>
    <row r="355" spans="1:31" x14ac:dyDescent="0.25">
      <c r="A355" s="1" t="s">
        <v>33</v>
      </c>
      <c r="B355" s="1">
        <v>2013</v>
      </c>
      <c r="C355" s="1" t="s">
        <v>37</v>
      </c>
      <c r="D355" s="1" t="s">
        <v>86</v>
      </c>
      <c r="E355" s="1">
        <v>114.6</v>
      </c>
      <c r="F355" s="1">
        <v>113.4</v>
      </c>
      <c r="G355" s="1">
        <v>106</v>
      </c>
      <c r="H355" s="1">
        <v>104.7</v>
      </c>
      <c r="I355" s="1">
        <v>102.1</v>
      </c>
      <c r="J355" s="1">
        <v>109.5</v>
      </c>
      <c r="K355" s="1">
        <v>109.7</v>
      </c>
      <c r="L355" s="1">
        <v>104.6</v>
      </c>
      <c r="M355" s="1">
        <v>102</v>
      </c>
      <c r="N355" s="1">
        <v>103.5</v>
      </c>
      <c r="O355" s="1">
        <v>108.2</v>
      </c>
      <c r="P355" s="1">
        <v>110.6</v>
      </c>
      <c r="Q355" s="1">
        <v>108.8</v>
      </c>
      <c r="R355" s="1">
        <v>108.5</v>
      </c>
      <c r="S355" s="1">
        <v>107.9</v>
      </c>
      <c r="T355" s="1">
        <v>106.4</v>
      </c>
      <c r="U355" s="1">
        <v>107.7</v>
      </c>
      <c r="V355" s="1">
        <v>100.5</v>
      </c>
      <c r="W355" s="1">
        <v>106.4</v>
      </c>
      <c r="X355" s="1">
        <v>106.5</v>
      </c>
      <c r="Y355" s="1">
        <v>105.7</v>
      </c>
      <c r="Z355" s="1">
        <v>105</v>
      </c>
      <c r="AA355" s="1">
        <v>104</v>
      </c>
      <c r="AB355" s="1">
        <v>105.2</v>
      </c>
      <c r="AC355" s="1">
        <v>103.2</v>
      </c>
      <c r="AD355" s="1">
        <v>105.1</v>
      </c>
      <c r="AE355" s="1">
        <v>105.7</v>
      </c>
    </row>
    <row r="356" spans="1:31" x14ac:dyDescent="0.25">
      <c r="A356" s="1" t="s">
        <v>34</v>
      </c>
      <c r="B356" s="1">
        <v>2013</v>
      </c>
      <c r="C356" s="1" t="s">
        <v>38</v>
      </c>
      <c r="D356" s="1" t="s">
        <v>87</v>
      </c>
      <c r="E356" s="1">
        <v>112.3</v>
      </c>
      <c r="F356" s="1">
        <v>111.3</v>
      </c>
      <c r="G356" s="1">
        <v>104.7</v>
      </c>
      <c r="H356" s="1">
        <v>106.8</v>
      </c>
      <c r="I356" s="1">
        <v>103.9</v>
      </c>
      <c r="J356" s="1">
        <v>109.3</v>
      </c>
      <c r="K356" s="1">
        <v>112.9</v>
      </c>
      <c r="L356" s="1">
        <v>105.8</v>
      </c>
      <c r="M356" s="1">
        <v>103.1</v>
      </c>
      <c r="N356" s="1">
        <v>104.3</v>
      </c>
      <c r="O356" s="1">
        <v>108.1</v>
      </c>
      <c r="P356" s="1">
        <v>110.5</v>
      </c>
      <c r="Q356" s="1">
        <v>109.2</v>
      </c>
      <c r="R356" s="1">
        <v>108.6</v>
      </c>
      <c r="S356" s="1">
        <v>108.7</v>
      </c>
      <c r="T356" s="1">
        <v>107.4</v>
      </c>
      <c r="U356" s="1">
        <v>108.5</v>
      </c>
      <c r="V356" s="1">
        <v>100.5</v>
      </c>
      <c r="W356" s="1">
        <v>107.4</v>
      </c>
      <c r="X356" s="1">
        <v>106.9</v>
      </c>
      <c r="Y356" s="1">
        <v>105.9</v>
      </c>
      <c r="Z356" s="1">
        <v>104</v>
      </c>
      <c r="AA356" s="1">
        <v>104.8</v>
      </c>
      <c r="AB356" s="1">
        <v>105.6</v>
      </c>
      <c r="AC356" s="1">
        <v>102.3</v>
      </c>
      <c r="AD356" s="1">
        <v>104.8</v>
      </c>
      <c r="AE356" s="1">
        <v>106.9</v>
      </c>
    </row>
    <row r="357" spans="1:31" x14ac:dyDescent="0.25">
      <c r="A357" s="1" t="s">
        <v>30</v>
      </c>
      <c r="B357" s="1">
        <v>2013</v>
      </c>
      <c r="C357" s="1" t="s">
        <v>39</v>
      </c>
      <c r="D357" s="1" t="s">
        <v>88</v>
      </c>
      <c r="E357" s="1">
        <v>112.3</v>
      </c>
      <c r="F357" s="1">
        <v>112.1</v>
      </c>
      <c r="G357" s="1">
        <v>108.1</v>
      </c>
      <c r="H357" s="1">
        <v>108.3</v>
      </c>
      <c r="I357" s="1">
        <v>105.9</v>
      </c>
      <c r="J357" s="1">
        <v>109.2</v>
      </c>
      <c r="K357" s="1">
        <v>118</v>
      </c>
      <c r="L357" s="1">
        <v>106.8</v>
      </c>
      <c r="M357" s="1">
        <v>104.1</v>
      </c>
      <c r="N357" s="1">
        <v>105.4</v>
      </c>
      <c r="O357" s="1">
        <v>108.2</v>
      </c>
      <c r="P357" s="1">
        <v>111</v>
      </c>
      <c r="Q357" s="1">
        <v>110.6</v>
      </c>
      <c r="R357" s="1">
        <v>109</v>
      </c>
      <c r="S357" s="1">
        <v>109.7</v>
      </c>
      <c r="T357" s="1">
        <v>108.8</v>
      </c>
      <c r="U357" s="1">
        <v>109.5</v>
      </c>
      <c r="V357" s="14">
        <v>106.6</v>
      </c>
      <c r="W357" s="1">
        <v>108.5</v>
      </c>
      <c r="X357" s="1">
        <v>107.5</v>
      </c>
      <c r="Y357" s="1">
        <v>106.3</v>
      </c>
      <c r="Z357" s="1">
        <v>105</v>
      </c>
      <c r="AA357" s="1">
        <v>105.6</v>
      </c>
      <c r="AB357" s="1">
        <v>106.5</v>
      </c>
      <c r="AC357" s="1">
        <v>102.5</v>
      </c>
      <c r="AD357" s="1">
        <v>105.5</v>
      </c>
      <c r="AE357" s="1">
        <v>108.9</v>
      </c>
    </row>
    <row r="358" spans="1:31" x14ac:dyDescent="0.25">
      <c r="A358" s="1" t="s">
        <v>34</v>
      </c>
      <c r="B358" s="1">
        <v>2013</v>
      </c>
      <c r="C358" s="1" t="s">
        <v>37</v>
      </c>
      <c r="D358" s="1" t="s">
        <v>86</v>
      </c>
      <c r="E358" s="1">
        <v>111.6</v>
      </c>
      <c r="F358" s="1">
        <v>110.9</v>
      </c>
      <c r="G358" s="1">
        <v>106.6</v>
      </c>
      <c r="H358" s="1">
        <v>105.7</v>
      </c>
      <c r="I358" s="1">
        <v>104.4</v>
      </c>
      <c r="J358" s="1">
        <v>108.9</v>
      </c>
      <c r="K358" s="1">
        <v>105.5</v>
      </c>
      <c r="L358" s="1">
        <v>105.3</v>
      </c>
      <c r="M358" s="1">
        <v>103.5</v>
      </c>
      <c r="N358" s="1">
        <v>103.3</v>
      </c>
      <c r="O358" s="1">
        <v>107.2</v>
      </c>
      <c r="P358" s="1">
        <v>109.6</v>
      </c>
      <c r="Q358" s="1">
        <v>107.7</v>
      </c>
      <c r="R358" s="1">
        <v>107.5</v>
      </c>
      <c r="S358" s="1">
        <v>108</v>
      </c>
      <c r="T358" s="1">
        <v>107</v>
      </c>
      <c r="U358" s="1">
        <v>107.9</v>
      </c>
      <c r="V358" s="1">
        <v>100.5</v>
      </c>
      <c r="W358" s="1">
        <v>106.5</v>
      </c>
      <c r="X358" s="1">
        <v>106.3</v>
      </c>
      <c r="Y358" s="1">
        <v>105.3</v>
      </c>
      <c r="Z358" s="1">
        <v>104.7</v>
      </c>
      <c r="AA358" s="1">
        <v>104.2</v>
      </c>
      <c r="AB358" s="1">
        <v>105</v>
      </c>
      <c r="AC358" s="1">
        <v>102.9</v>
      </c>
      <c r="AD358" s="1">
        <v>104.8</v>
      </c>
      <c r="AE358" s="1">
        <v>106.1</v>
      </c>
    </row>
    <row r="359" spans="1:31" x14ac:dyDescent="0.25">
      <c r="A359" s="1" t="s">
        <v>33</v>
      </c>
      <c r="B359" s="1">
        <v>2013</v>
      </c>
      <c r="C359" s="1" t="s">
        <v>41</v>
      </c>
      <c r="D359" s="1" t="s">
        <v>90</v>
      </c>
      <c r="E359" s="1">
        <v>118.3</v>
      </c>
      <c r="F359" s="1">
        <v>120.4</v>
      </c>
      <c r="G359" s="1">
        <v>112.7</v>
      </c>
      <c r="H359" s="1">
        <v>108.9</v>
      </c>
      <c r="I359" s="1">
        <v>101.1</v>
      </c>
      <c r="J359" s="1">
        <v>108.7</v>
      </c>
      <c r="K359" s="1">
        <v>177</v>
      </c>
      <c r="L359" s="1">
        <v>104.7</v>
      </c>
      <c r="M359" s="1">
        <v>101</v>
      </c>
      <c r="N359" s="1">
        <v>108.5</v>
      </c>
      <c r="O359" s="1">
        <v>110.9</v>
      </c>
      <c r="P359" s="1">
        <v>114.3</v>
      </c>
      <c r="Q359" s="1">
        <v>119.6</v>
      </c>
      <c r="R359" s="1">
        <v>112.4</v>
      </c>
      <c r="S359" s="1">
        <v>110.6</v>
      </c>
      <c r="T359" s="1">
        <v>108.3</v>
      </c>
      <c r="U359" s="1">
        <v>110.2</v>
      </c>
      <c r="V359" s="1">
        <v>108.9</v>
      </c>
      <c r="W359" s="1">
        <v>109.3</v>
      </c>
      <c r="X359" s="1">
        <v>108.7</v>
      </c>
      <c r="Y359" s="1">
        <v>107.6</v>
      </c>
      <c r="Z359" s="1">
        <v>108.1</v>
      </c>
      <c r="AA359" s="1">
        <v>106.5</v>
      </c>
      <c r="AB359" s="1">
        <v>110.8</v>
      </c>
      <c r="AC359" s="1">
        <v>106</v>
      </c>
      <c r="AD359" s="1">
        <v>108.3</v>
      </c>
      <c r="AE359" s="1">
        <v>112.7</v>
      </c>
    </row>
    <row r="360" spans="1:31" x14ac:dyDescent="0.25">
      <c r="A360" s="1" t="s">
        <v>30</v>
      </c>
      <c r="B360" s="1">
        <v>2013</v>
      </c>
      <c r="C360" s="1" t="s">
        <v>37</v>
      </c>
      <c r="D360" s="1" t="s">
        <v>86</v>
      </c>
      <c r="E360" s="1">
        <v>110.2</v>
      </c>
      <c r="F360" s="1">
        <v>109.5</v>
      </c>
      <c r="G360" s="1">
        <v>106.9</v>
      </c>
      <c r="H360" s="1">
        <v>106.3</v>
      </c>
      <c r="I360" s="1">
        <v>105.7</v>
      </c>
      <c r="J360" s="1">
        <v>108.3</v>
      </c>
      <c r="K360" s="1">
        <v>103.4</v>
      </c>
      <c r="L360" s="1">
        <v>105.7</v>
      </c>
      <c r="M360" s="1">
        <v>104.2</v>
      </c>
      <c r="N360" s="1">
        <v>103.2</v>
      </c>
      <c r="O360" s="1">
        <v>106.5</v>
      </c>
      <c r="P360" s="1">
        <v>108.8</v>
      </c>
      <c r="Q360" s="1">
        <v>107.1</v>
      </c>
      <c r="R360" s="1">
        <v>107.1</v>
      </c>
      <c r="S360" s="1">
        <v>108.1</v>
      </c>
      <c r="T360" s="1">
        <v>107.4</v>
      </c>
      <c r="U360" s="1">
        <v>108</v>
      </c>
      <c r="V360" s="14">
        <v>100.5</v>
      </c>
      <c r="W360" s="1">
        <v>106.5</v>
      </c>
      <c r="X360" s="1">
        <v>106.1</v>
      </c>
      <c r="Y360" s="1">
        <v>105.1</v>
      </c>
      <c r="Z360" s="1">
        <v>104.4</v>
      </c>
      <c r="AA360" s="1">
        <v>104.5</v>
      </c>
      <c r="AB360" s="1">
        <v>104.8</v>
      </c>
      <c r="AC360" s="1">
        <v>102.7</v>
      </c>
      <c r="AD360" s="1">
        <v>104.6</v>
      </c>
      <c r="AE360" s="1">
        <v>106.4</v>
      </c>
    </row>
    <row r="361" spans="1:31" x14ac:dyDescent="0.25">
      <c r="A361" s="1" t="s">
        <v>30</v>
      </c>
      <c r="B361" s="1">
        <v>2013</v>
      </c>
      <c r="C361" s="1" t="s">
        <v>38</v>
      </c>
      <c r="D361" s="1" t="s">
        <v>87</v>
      </c>
      <c r="E361" s="1">
        <v>110.9</v>
      </c>
      <c r="F361" s="1">
        <v>109.8</v>
      </c>
      <c r="G361" s="1">
        <v>105.9</v>
      </c>
      <c r="H361" s="1">
        <v>107.5</v>
      </c>
      <c r="I361" s="1">
        <v>105.3</v>
      </c>
      <c r="J361" s="1">
        <v>108.1</v>
      </c>
      <c r="K361" s="1">
        <v>107.3</v>
      </c>
      <c r="L361" s="1">
        <v>106.1</v>
      </c>
      <c r="M361" s="1">
        <v>103.7</v>
      </c>
      <c r="N361" s="1">
        <v>104</v>
      </c>
      <c r="O361" s="1">
        <v>107.4</v>
      </c>
      <c r="P361" s="1">
        <v>109.9</v>
      </c>
      <c r="Q361" s="1">
        <v>108.1</v>
      </c>
      <c r="R361" s="1">
        <v>108.1</v>
      </c>
      <c r="S361" s="1">
        <v>108.8</v>
      </c>
      <c r="T361" s="1">
        <v>107.9</v>
      </c>
      <c r="U361" s="1">
        <v>108.6</v>
      </c>
      <c r="V361" s="14">
        <v>100.5</v>
      </c>
      <c r="W361" s="1">
        <v>107.5</v>
      </c>
      <c r="X361" s="1">
        <v>106.8</v>
      </c>
      <c r="Y361" s="1">
        <v>105.7</v>
      </c>
      <c r="Z361" s="1">
        <v>104.1</v>
      </c>
      <c r="AA361" s="1">
        <v>105</v>
      </c>
      <c r="AB361" s="1">
        <v>105.5</v>
      </c>
      <c r="AC361" s="1">
        <v>102.1</v>
      </c>
      <c r="AD361" s="1">
        <v>104.8</v>
      </c>
      <c r="AE361" s="1">
        <v>107.2</v>
      </c>
    </row>
    <row r="362" spans="1:31" x14ac:dyDescent="0.25">
      <c r="A362" s="1" t="s">
        <v>34</v>
      </c>
      <c r="B362" s="1">
        <v>2013</v>
      </c>
      <c r="C362" s="1" t="s">
        <v>42</v>
      </c>
      <c r="D362" s="1" t="s">
        <v>91</v>
      </c>
      <c r="E362" s="1">
        <v>116.4</v>
      </c>
      <c r="F362" s="1">
        <v>116.9</v>
      </c>
      <c r="G362" s="1">
        <v>112.3</v>
      </c>
      <c r="H362" s="1">
        <v>110.5</v>
      </c>
      <c r="I362" s="1">
        <v>105.3</v>
      </c>
      <c r="J362" s="1">
        <v>107.3</v>
      </c>
      <c r="K362" s="1">
        <v>160.9</v>
      </c>
      <c r="L362" s="1">
        <v>107.1</v>
      </c>
      <c r="M362" s="1">
        <v>103.1</v>
      </c>
      <c r="N362" s="1">
        <v>108.3</v>
      </c>
      <c r="O362" s="1">
        <v>110.7</v>
      </c>
      <c r="P362" s="1">
        <v>114.6</v>
      </c>
      <c r="Q362" s="1">
        <v>118.3</v>
      </c>
      <c r="R362" s="1">
        <v>112</v>
      </c>
      <c r="S362" s="1">
        <v>112.2</v>
      </c>
      <c r="T362" s="1">
        <v>110.4</v>
      </c>
      <c r="U362" s="1">
        <v>111.9</v>
      </c>
      <c r="V362" s="1">
        <v>109.7</v>
      </c>
      <c r="W362" s="1">
        <v>110.5</v>
      </c>
      <c r="X362" s="1">
        <v>109.6</v>
      </c>
      <c r="Y362" s="1">
        <v>108.1</v>
      </c>
      <c r="Z362" s="1">
        <v>109.9</v>
      </c>
      <c r="AA362" s="1">
        <v>107.5</v>
      </c>
      <c r="AB362" s="1">
        <v>110.6</v>
      </c>
      <c r="AC362" s="1">
        <v>106.8</v>
      </c>
      <c r="AD362" s="1">
        <v>109</v>
      </c>
      <c r="AE362" s="1">
        <v>113.7</v>
      </c>
    </row>
    <row r="363" spans="1:31" x14ac:dyDescent="0.25">
      <c r="A363" s="1" t="s">
        <v>33</v>
      </c>
      <c r="B363" s="1">
        <v>2013</v>
      </c>
      <c r="C363" s="1" t="s">
        <v>43</v>
      </c>
      <c r="D363" s="1" t="s">
        <v>92</v>
      </c>
      <c r="E363" s="1">
        <v>118.9</v>
      </c>
      <c r="F363" s="1">
        <v>118.1</v>
      </c>
      <c r="G363" s="1">
        <v>114.5</v>
      </c>
      <c r="H363" s="1">
        <v>110.4</v>
      </c>
      <c r="I363" s="1">
        <v>102.3</v>
      </c>
      <c r="J363" s="1">
        <v>106.2</v>
      </c>
      <c r="K363" s="1">
        <v>183.5</v>
      </c>
      <c r="L363" s="1">
        <v>105.3</v>
      </c>
      <c r="M363" s="1">
        <v>100.2</v>
      </c>
      <c r="N363" s="1">
        <v>109.6</v>
      </c>
      <c r="O363" s="1">
        <v>111.4</v>
      </c>
      <c r="P363" s="1">
        <v>116</v>
      </c>
      <c r="Q363" s="1">
        <v>120.8</v>
      </c>
      <c r="R363" s="1">
        <v>113.5</v>
      </c>
      <c r="S363" s="1">
        <v>112.5</v>
      </c>
      <c r="T363" s="1">
        <v>109.7</v>
      </c>
      <c r="U363" s="1">
        <v>112</v>
      </c>
      <c r="V363" s="1">
        <v>110.5</v>
      </c>
      <c r="W363" s="1">
        <v>109.7</v>
      </c>
      <c r="X363" s="1">
        <v>110.2</v>
      </c>
      <c r="Y363" s="1">
        <v>108.2</v>
      </c>
      <c r="Z363" s="1">
        <v>109.7</v>
      </c>
      <c r="AA363" s="1">
        <v>108</v>
      </c>
      <c r="AB363" s="1">
        <v>111.3</v>
      </c>
      <c r="AC363" s="1">
        <v>107.3</v>
      </c>
      <c r="AD363" s="1">
        <v>109.4</v>
      </c>
      <c r="AE363" s="1">
        <v>114</v>
      </c>
    </row>
    <row r="364" spans="1:31" x14ac:dyDescent="0.25">
      <c r="A364" s="1" t="s">
        <v>30</v>
      </c>
      <c r="B364" s="1">
        <v>2013</v>
      </c>
      <c r="C364" s="1" t="s">
        <v>36</v>
      </c>
      <c r="D364" s="1" t="s">
        <v>85</v>
      </c>
      <c r="E364" s="1">
        <v>110.2</v>
      </c>
      <c r="F364" s="1">
        <v>108.8</v>
      </c>
      <c r="G364" s="1">
        <v>109.9</v>
      </c>
      <c r="H364" s="1">
        <v>105.6</v>
      </c>
      <c r="I364" s="1">
        <v>106.2</v>
      </c>
      <c r="J364" s="1">
        <v>105.7</v>
      </c>
      <c r="K364" s="1">
        <v>101.4</v>
      </c>
      <c r="L364" s="1">
        <v>105.7</v>
      </c>
      <c r="M364" s="1">
        <v>105</v>
      </c>
      <c r="N364" s="1">
        <v>103.3</v>
      </c>
      <c r="O364" s="1">
        <v>105.6</v>
      </c>
      <c r="P364" s="1">
        <v>108.2</v>
      </c>
      <c r="Q364" s="1">
        <v>106.6</v>
      </c>
      <c r="R364" s="1">
        <v>106.5</v>
      </c>
      <c r="S364" s="1">
        <v>107.6</v>
      </c>
      <c r="T364" s="1">
        <v>106.8</v>
      </c>
      <c r="U364" s="1">
        <v>107.5</v>
      </c>
      <c r="V364" s="14">
        <v>100.4</v>
      </c>
      <c r="W364" s="1">
        <v>106.1</v>
      </c>
      <c r="X364" s="1">
        <v>105.6</v>
      </c>
      <c r="Y364" s="1">
        <v>104.7</v>
      </c>
      <c r="Z364" s="1">
        <v>104.6</v>
      </c>
      <c r="AA364" s="1">
        <v>104</v>
      </c>
      <c r="AB364" s="1">
        <v>104.3</v>
      </c>
      <c r="AC364" s="1">
        <v>104.3</v>
      </c>
      <c r="AD364" s="1">
        <v>104.6</v>
      </c>
      <c r="AE364" s="1">
        <v>106</v>
      </c>
    </row>
    <row r="365" spans="1:31" x14ac:dyDescent="0.25">
      <c r="A365" s="1" t="s">
        <v>34</v>
      </c>
      <c r="B365" s="1">
        <v>2013</v>
      </c>
      <c r="C365" s="1" t="s">
        <v>36</v>
      </c>
      <c r="D365" s="1" t="s">
        <v>85</v>
      </c>
      <c r="E365" s="1">
        <v>111.4</v>
      </c>
      <c r="F365" s="1">
        <v>109.7</v>
      </c>
      <c r="G365" s="1">
        <v>111.2</v>
      </c>
      <c r="H365" s="1">
        <v>105.1</v>
      </c>
      <c r="I365" s="1">
        <v>104.9</v>
      </c>
      <c r="J365" s="1">
        <v>105.3</v>
      </c>
      <c r="K365" s="1">
        <v>102.2</v>
      </c>
      <c r="L365" s="1">
        <v>105</v>
      </c>
      <c r="M365" s="1">
        <v>104.2</v>
      </c>
      <c r="N365" s="1">
        <v>103</v>
      </c>
      <c r="O365" s="1">
        <v>106.2</v>
      </c>
      <c r="P365" s="1">
        <v>108.9</v>
      </c>
      <c r="Q365" s="1">
        <v>106.9</v>
      </c>
      <c r="R365" s="1">
        <v>106.6</v>
      </c>
      <c r="S365" s="1">
        <v>107.4</v>
      </c>
      <c r="T365" s="1">
        <v>106.5</v>
      </c>
      <c r="U365" s="1">
        <v>107.3</v>
      </c>
      <c r="V365" s="1">
        <v>100.4</v>
      </c>
      <c r="W365" s="1">
        <v>106.1</v>
      </c>
      <c r="X365" s="1">
        <v>105.6</v>
      </c>
      <c r="Y365" s="1">
        <v>104.9</v>
      </c>
      <c r="Z365" s="1">
        <v>105.1</v>
      </c>
      <c r="AA365" s="1">
        <v>103.7</v>
      </c>
      <c r="AB365" s="1">
        <v>104</v>
      </c>
      <c r="AC365" s="1">
        <v>104.3</v>
      </c>
      <c r="AD365" s="1">
        <v>104.7</v>
      </c>
      <c r="AE365" s="1">
        <v>105.5</v>
      </c>
    </row>
    <row r="366" spans="1:31" x14ac:dyDescent="0.25">
      <c r="A366" s="1" t="s">
        <v>33</v>
      </c>
      <c r="B366" s="1">
        <v>2013</v>
      </c>
      <c r="C366" s="1" t="s">
        <v>36</v>
      </c>
      <c r="D366" s="1" t="s">
        <v>85</v>
      </c>
      <c r="E366" s="1">
        <v>113.9</v>
      </c>
      <c r="F366" s="1">
        <v>111.4</v>
      </c>
      <c r="G366" s="1">
        <v>113.2</v>
      </c>
      <c r="H366" s="1">
        <v>104.3</v>
      </c>
      <c r="I366" s="1">
        <v>102.7</v>
      </c>
      <c r="J366" s="1">
        <v>104.9</v>
      </c>
      <c r="K366" s="1">
        <v>103.8</v>
      </c>
      <c r="L366" s="1">
        <v>103.5</v>
      </c>
      <c r="M366" s="1">
        <v>102.6</v>
      </c>
      <c r="N366" s="1">
        <v>102.4</v>
      </c>
      <c r="O366" s="1">
        <v>107</v>
      </c>
      <c r="P366" s="1">
        <v>109.8</v>
      </c>
      <c r="Q366" s="1">
        <v>107.3</v>
      </c>
      <c r="R366" s="1">
        <v>106.8</v>
      </c>
      <c r="S366" s="1">
        <v>107.2</v>
      </c>
      <c r="T366" s="1">
        <v>106</v>
      </c>
      <c r="U366" s="1">
        <v>107</v>
      </c>
      <c r="V366" s="1">
        <v>100.4</v>
      </c>
      <c r="W366" s="1">
        <v>106</v>
      </c>
      <c r="X366" s="1">
        <v>105.7</v>
      </c>
      <c r="Y366" s="1">
        <v>105.2</v>
      </c>
      <c r="Z366" s="1">
        <v>105.5</v>
      </c>
      <c r="AA366" s="1">
        <v>103.5</v>
      </c>
      <c r="AB366" s="1">
        <v>103.8</v>
      </c>
      <c r="AC366" s="1">
        <v>104.2</v>
      </c>
      <c r="AD366" s="1">
        <v>104.9</v>
      </c>
      <c r="AE366" s="1">
        <v>105</v>
      </c>
    </row>
    <row r="367" spans="1:31" x14ac:dyDescent="0.25">
      <c r="A367" s="1" t="s">
        <v>30</v>
      </c>
      <c r="B367" s="1">
        <v>2013</v>
      </c>
      <c r="C367" s="1" t="s">
        <v>35</v>
      </c>
      <c r="D367" s="1" t="s">
        <v>84</v>
      </c>
      <c r="E367" s="1">
        <v>109.2</v>
      </c>
      <c r="F367" s="1">
        <v>108.7</v>
      </c>
      <c r="G367" s="1">
        <v>110.2</v>
      </c>
      <c r="H367" s="1">
        <v>105.4</v>
      </c>
      <c r="I367" s="1">
        <v>106.7</v>
      </c>
      <c r="J367" s="1">
        <v>104</v>
      </c>
      <c r="K367" s="1">
        <v>102.4</v>
      </c>
      <c r="L367" s="1">
        <v>105.9</v>
      </c>
      <c r="M367" s="1">
        <v>105.7</v>
      </c>
      <c r="N367" s="1">
        <v>103.1</v>
      </c>
      <c r="O367" s="1">
        <v>105.1</v>
      </c>
      <c r="P367" s="1">
        <v>107.7</v>
      </c>
      <c r="Q367" s="1">
        <v>106.3</v>
      </c>
      <c r="R367" s="1">
        <v>105.6</v>
      </c>
      <c r="S367" s="1">
        <v>107.1</v>
      </c>
      <c r="T367" s="1">
        <v>106.3</v>
      </c>
      <c r="U367" s="1">
        <v>107</v>
      </c>
      <c r="V367" s="14">
        <v>100.4</v>
      </c>
      <c r="W367" s="1">
        <v>106.2</v>
      </c>
      <c r="X367" s="1">
        <v>105.2</v>
      </c>
      <c r="Y367" s="1">
        <v>104.4</v>
      </c>
      <c r="Z367" s="1">
        <v>103.9</v>
      </c>
      <c r="AA367" s="1">
        <v>104</v>
      </c>
      <c r="AB367" s="1">
        <v>104.1</v>
      </c>
      <c r="AC367" s="1">
        <v>104.6</v>
      </c>
      <c r="AD367" s="1">
        <v>104.4</v>
      </c>
      <c r="AE367" s="1">
        <v>105.8</v>
      </c>
    </row>
    <row r="368" spans="1:31" x14ac:dyDescent="0.25">
      <c r="A368" s="1" t="s">
        <v>30</v>
      </c>
      <c r="B368" s="1">
        <v>2013</v>
      </c>
      <c r="C368" s="1" t="s">
        <v>31</v>
      </c>
      <c r="D368" s="13" t="str">
        <f>C368 &amp; " " &amp;B368</f>
        <v>January 2013</v>
      </c>
      <c r="E368" s="1">
        <v>107.5</v>
      </c>
      <c r="F368" s="1">
        <v>106.3</v>
      </c>
      <c r="G368" s="1">
        <v>108.1</v>
      </c>
      <c r="H368" s="1">
        <v>104.9</v>
      </c>
      <c r="I368" s="1">
        <v>106.1</v>
      </c>
      <c r="J368" s="1">
        <v>103.9</v>
      </c>
      <c r="K368" s="1">
        <v>101.9</v>
      </c>
      <c r="L368" s="1">
        <v>106.1</v>
      </c>
      <c r="M368" s="1">
        <v>106.8</v>
      </c>
      <c r="N368" s="1">
        <v>103.1</v>
      </c>
      <c r="O368" s="1">
        <v>104.8</v>
      </c>
      <c r="P368" s="1">
        <v>106.7</v>
      </c>
      <c r="Q368" s="1">
        <v>105.5</v>
      </c>
      <c r="R368" s="1">
        <v>105.1</v>
      </c>
      <c r="S368" s="1">
        <v>106.5</v>
      </c>
      <c r="T368" s="1">
        <v>105.8</v>
      </c>
      <c r="U368" s="1">
        <v>106.4</v>
      </c>
      <c r="V368" s="14">
        <v>100.3</v>
      </c>
      <c r="W368" s="1">
        <v>105.5</v>
      </c>
      <c r="X368" s="1">
        <v>104.8</v>
      </c>
      <c r="Y368" s="1">
        <v>104</v>
      </c>
      <c r="Z368" s="1">
        <v>103.3</v>
      </c>
      <c r="AA368" s="1">
        <v>103.4</v>
      </c>
      <c r="AB368" s="1">
        <v>103.8</v>
      </c>
      <c r="AC368" s="1">
        <v>104.7</v>
      </c>
      <c r="AD368" s="1">
        <v>104</v>
      </c>
      <c r="AE368" s="1">
        <v>105.1</v>
      </c>
    </row>
    <row r="369" spans="1:31" x14ac:dyDescent="0.25">
      <c r="A369" s="1" t="s">
        <v>34</v>
      </c>
      <c r="B369" s="1">
        <v>2013</v>
      </c>
      <c r="C369" s="1" t="s">
        <v>35</v>
      </c>
      <c r="D369" s="1" t="s">
        <v>84</v>
      </c>
      <c r="E369" s="1">
        <v>110.4</v>
      </c>
      <c r="F369" s="1">
        <v>110.2</v>
      </c>
      <c r="G369" s="1">
        <v>112.8</v>
      </c>
      <c r="H369" s="1">
        <v>104.9</v>
      </c>
      <c r="I369" s="1">
        <v>105.5</v>
      </c>
      <c r="J369" s="1">
        <v>103.6</v>
      </c>
      <c r="K369" s="1">
        <v>103.2</v>
      </c>
      <c r="L369" s="1">
        <v>105.3</v>
      </c>
      <c r="M369" s="1">
        <v>105.1</v>
      </c>
      <c r="N369" s="1">
        <v>102.8</v>
      </c>
      <c r="O369" s="1">
        <v>105.5</v>
      </c>
      <c r="P369" s="1">
        <v>108.3</v>
      </c>
      <c r="Q369" s="1">
        <v>106.6</v>
      </c>
      <c r="R369" s="1">
        <v>105.7</v>
      </c>
      <c r="S369" s="1">
        <v>106.9</v>
      </c>
      <c r="T369" s="1">
        <v>106</v>
      </c>
      <c r="U369" s="1">
        <v>106.8</v>
      </c>
      <c r="V369" s="1">
        <v>100.4</v>
      </c>
      <c r="W369" s="1">
        <v>106</v>
      </c>
      <c r="X369" s="1">
        <v>105.2</v>
      </c>
      <c r="Y369" s="1">
        <v>104.5</v>
      </c>
      <c r="Z369" s="1">
        <v>104.2</v>
      </c>
      <c r="AA369" s="1">
        <v>103.6</v>
      </c>
      <c r="AB369" s="1">
        <v>103.9</v>
      </c>
      <c r="AC369" s="1">
        <v>104.5</v>
      </c>
      <c r="AD369" s="1">
        <v>104.4</v>
      </c>
      <c r="AE369" s="1">
        <v>105.3</v>
      </c>
    </row>
    <row r="370" spans="1:31" x14ac:dyDescent="0.25">
      <c r="A370" s="1" t="s">
        <v>34</v>
      </c>
      <c r="B370" s="1">
        <v>2013</v>
      </c>
      <c r="C370" s="1" t="s">
        <v>31</v>
      </c>
      <c r="D370" s="1" t="s">
        <v>83</v>
      </c>
      <c r="E370" s="1">
        <v>108.4</v>
      </c>
      <c r="F370" s="1">
        <v>107.3</v>
      </c>
      <c r="G370" s="1">
        <v>110</v>
      </c>
      <c r="H370" s="1">
        <v>104.4</v>
      </c>
      <c r="I370" s="1">
        <v>105.1</v>
      </c>
      <c r="J370" s="1">
        <v>103.2</v>
      </c>
      <c r="K370" s="1">
        <v>102.2</v>
      </c>
      <c r="L370" s="1">
        <v>106</v>
      </c>
      <c r="M370" s="1">
        <v>106.2</v>
      </c>
      <c r="N370" s="1">
        <v>102.7</v>
      </c>
      <c r="O370" s="1">
        <v>104.9</v>
      </c>
      <c r="P370" s="1">
        <v>107.3</v>
      </c>
      <c r="Q370" s="1">
        <v>105.6</v>
      </c>
      <c r="R370" s="1">
        <v>105.1</v>
      </c>
      <c r="S370" s="1">
        <v>106.3</v>
      </c>
      <c r="T370" s="1">
        <v>105.5</v>
      </c>
      <c r="U370" s="1">
        <v>106.2</v>
      </c>
      <c r="V370" s="1">
        <v>100.3</v>
      </c>
      <c r="W370" s="1">
        <v>105.5</v>
      </c>
      <c r="X370" s="1">
        <v>104.8</v>
      </c>
      <c r="Y370" s="1">
        <v>104</v>
      </c>
      <c r="Z370" s="1">
        <v>103.2</v>
      </c>
      <c r="AA370" s="1">
        <v>103.1</v>
      </c>
      <c r="AB370" s="1">
        <v>103.6</v>
      </c>
      <c r="AC370" s="1">
        <v>104.5</v>
      </c>
      <c r="AD370" s="1">
        <v>103.9</v>
      </c>
      <c r="AE370" s="1">
        <v>104.6</v>
      </c>
    </row>
    <row r="371" spans="1:31" x14ac:dyDescent="0.25">
      <c r="A371" s="1" t="s">
        <v>33</v>
      </c>
      <c r="B371" s="1">
        <v>2013</v>
      </c>
      <c r="C371" s="1" t="s">
        <v>42</v>
      </c>
      <c r="D371" s="1" t="s">
        <v>91</v>
      </c>
      <c r="E371" s="1">
        <v>118.6</v>
      </c>
      <c r="F371" s="1">
        <v>119.1</v>
      </c>
      <c r="G371" s="1">
        <v>113.2</v>
      </c>
      <c r="H371" s="1">
        <v>109.6</v>
      </c>
      <c r="I371" s="1">
        <v>101.7</v>
      </c>
      <c r="J371" s="1">
        <v>103.2</v>
      </c>
      <c r="K371" s="1">
        <v>174.3</v>
      </c>
      <c r="L371" s="1">
        <v>105.1</v>
      </c>
      <c r="M371" s="1">
        <v>100.8</v>
      </c>
      <c r="N371" s="1">
        <v>109.1</v>
      </c>
      <c r="O371" s="1">
        <v>111.1</v>
      </c>
      <c r="P371" s="1">
        <v>115.4</v>
      </c>
      <c r="Q371" s="1">
        <v>119.2</v>
      </c>
      <c r="R371" s="1">
        <v>112.9</v>
      </c>
      <c r="S371" s="1">
        <v>111.4</v>
      </c>
      <c r="T371" s="1">
        <v>109</v>
      </c>
      <c r="U371" s="1">
        <v>111.1</v>
      </c>
      <c r="V371" s="1">
        <v>109.7</v>
      </c>
      <c r="W371" s="1">
        <v>109.5</v>
      </c>
      <c r="X371" s="1">
        <v>109.6</v>
      </c>
      <c r="Y371" s="1">
        <v>107.9</v>
      </c>
      <c r="Z371" s="1">
        <v>110.4</v>
      </c>
      <c r="AA371" s="1">
        <v>107.4</v>
      </c>
      <c r="AB371" s="1">
        <v>111.2</v>
      </c>
      <c r="AC371" s="1">
        <v>106.9</v>
      </c>
      <c r="AD371" s="1">
        <v>109.4</v>
      </c>
      <c r="AE371" s="1">
        <v>113.2</v>
      </c>
    </row>
    <row r="372" spans="1:31" x14ac:dyDescent="0.25">
      <c r="A372" s="1" t="s">
        <v>33</v>
      </c>
      <c r="B372" s="1">
        <v>2013</v>
      </c>
      <c r="C372" s="1" t="s">
        <v>35</v>
      </c>
      <c r="D372" s="1" t="s">
        <v>84</v>
      </c>
      <c r="E372" s="1">
        <v>112.9</v>
      </c>
      <c r="F372" s="1">
        <v>112.9</v>
      </c>
      <c r="G372" s="1">
        <v>116.9</v>
      </c>
      <c r="H372" s="1">
        <v>104</v>
      </c>
      <c r="I372" s="1">
        <v>103.5</v>
      </c>
      <c r="J372" s="1">
        <v>103.1</v>
      </c>
      <c r="K372" s="1">
        <v>104.9</v>
      </c>
      <c r="L372" s="1">
        <v>104.1</v>
      </c>
      <c r="M372" s="1">
        <v>103.8</v>
      </c>
      <c r="N372" s="1">
        <v>102.3</v>
      </c>
      <c r="O372" s="1">
        <v>106</v>
      </c>
      <c r="P372" s="1">
        <v>109</v>
      </c>
      <c r="Q372" s="1">
        <v>107.2</v>
      </c>
      <c r="R372" s="1">
        <v>106</v>
      </c>
      <c r="S372" s="1">
        <v>106.6</v>
      </c>
      <c r="T372" s="1">
        <v>105.5</v>
      </c>
      <c r="U372" s="1">
        <v>106.4</v>
      </c>
      <c r="V372" s="1">
        <v>100.4</v>
      </c>
      <c r="W372" s="1">
        <v>105.7</v>
      </c>
      <c r="X372" s="1">
        <v>105.2</v>
      </c>
      <c r="Y372" s="1">
        <v>104.7</v>
      </c>
      <c r="Z372" s="1">
        <v>104.4</v>
      </c>
      <c r="AA372" s="1">
        <v>103.3</v>
      </c>
      <c r="AB372" s="1">
        <v>103.7</v>
      </c>
      <c r="AC372" s="1">
        <v>104.3</v>
      </c>
      <c r="AD372" s="1">
        <v>104.3</v>
      </c>
      <c r="AE372" s="1">
        <v>104.7</v>
      </c>
    </row>
    <row r="373" spans="1:31" x14ac:dyDescent="0.25">
      <c r="A373" s="1" t="s">
        <v>33</v>
      </c>
      <c r="B373" s="1">
        <v>2013</v>
      </c>
      <c r="C373" s="1" t="s">
        <v>31</v>
      </c>
      <c r="D373" s="1" t="s">
        <v>83</v>
      </c>
      <c r="E373" s="1">
        <v>110.5</v>
      </c>
      <c r="F373" s="1">
        <v>109.1</v>
      </c>
      <c r="G373" s="1">
        <v>113</v>
      </c>
      <c r="H373" s="1">
        <v>103.6</v>
      </c>
      <c r="I373" s="1">
        <v>103.4</v>
      </c>
      <c r="J373" s="1">
        <v>102.3</v>
      </c>
      <c r="K373" s="1">
        <v>102.9</v>
      </c>
      <c r="L373" s="1">
        <v>105.8</v>
      </c>
      <c r="M373" s="1">
        <v>105.1</v>
      </c>
      <c r="N373" s="1">
        <v>101.8</v>
      </c>
      <c r="O373" s="1">
        <v>105.1</v>
      </c>
      <c r="P373" s="1">
        <v>107.9</v>
      </c>
      <c r="Q373" s="1">
        <v>105.9</v>
      </c>
      <c r="R373" s="1">
        <v>105.2</v>
      </c>
      <c r="S373" s="1">
        <v>105.9</v>
      </c>
      <c r="T373" s="1">
        <v>105</v>
      </c>
      <c r="U373" s="1">
        <v>105.8</v>
      </c>
      <c r="V373" s="1">
        <v>100.3</v>
      </c>
      <c r="W373" s="1">
        <v>105.4</v>
      </c>
      <c r="X373" s="1">
        <v>104.8</v>
      </c>
      <c r="Y373" s="1">
        <v>104.1</v>
      </c>
      <c r="Z373" s="1">
        <v>103.2</v>
      </c>
      <c r="AA373" s="1">
        <v>102.9</v>
      </c>
      <c r="AB373" s="1">
        <v>103.5</v>
      </c>
      <c r="AC373" s="1">
        <v>104.3</v>
      </c>
      <c r="AD373" s="1">
        <v>103.7</v>
      </c>
      <c r="AE373" s="1">
        <v>104</v>
      </c>
    </row>
    <row r="380" spans="1:31" x14ac:dyDescent="0.25">
      <c r="AA380">
        <f>SUM(U187:X187,AB187,Z187)</f>
        <v>809.40000000000009</v>
      </c>
    </row>
    <row r="381" spans="1:31" x14ac:dyDescent="0.25">
      <c r="AA381">
        <f>SUM(U188:X188,AB188)</f>
        <v>706</v>
      </c>
    </row>
    <row r="393" spans="19:20" x14ac:dyDescent="0.25">
      <c r="S393" s="15"/>
      <c r="T393" s="15"/>
    </row>
  </sheetData>
  <autoFilter ref="A1:AE373" xr:uid="{F16C746E-AB42-4CF6-8B3F-80199915C0F1}">
    <filterColumn colId="9">
      <colorFilter dxfId="1"/>
    </filterColumn>
    <sortState xmlns:xlrd2="http://schemas.microsoft.com/office/spreadsheetml/2017/richdata2" ref="A2:AE373">
      <sortCondition descending="1" ref="J1:J37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DDA3E-AB58-49AC-A7CC-816F0E5E4529}">
  <dimension ref="A1:J373"/>
  <sheetViews>
    <sheetView topLeftCell="B1" workbookViewId="0">
      <pane ySplit="1" topLeftCell="A355" activePane="bottomLeft" state="frozen"/>
      <selection pane="bottomLeft" activeCell="G364" sqref="A1:J373"/>
    </sheetView>
  </sheetViews>
  <sheetFormatPr defaultRowHeight="12.5" x14ac:dyDescent="0.25"/>
  <cols>
    <col min="1" max="2" width="14.81640625" customWidth="1"/>
    <col min="3" max="3" width="9.90625" customWidth="1"/>
    <col min="4" max="4" width="11.26953125" customWidth="1"/>
    <col min="5" max="5" width="21.36328125" customWidth="1"/>
    <col min="6" max="6" width="27" customWidth="1"/>
    <col min="7" max="7" width="23.6328125" customWidth="1"/>
    <col min="8" max="8" width="16" customWidth="1"/>
    <col min="9" max="9" width="16.26953125" customWidth="1"/>
    <col min="10" max="10" width="15" customWidth="1"/>
  </cols>
  <sheetData>
    <row r="1" spans="1:10" ht="13" x14ac:dyDescent="0.3">
      <c r="A1" s="2" t="s">
        <v>0</v>
      </c>
      <c r="B1" s="2" t="s">
        <v>82</v>
      </c>
      <c r="C1" s="2" t="s">
        <v>1</v>
      </c>
      <c r="D1" s="2" t="s">
        <v>2</v>
      </c>
      <c r="E1" s="2" t="s">
        <v>15</v>
      </c>
      <c r="F1" s="2" t="s">
        <v>16</v>
      </c>
      <c r="G1" s="2" t="s">
        <v>216</v>
      </c>
      <c r="H1" s="2" t="s">
        <v>20</v>
      </c>
      <c r="I1" s="2" t="s">
        <v>28</v>
      </c>
      <c r="J1" s="2" t="s">
        <v>29</v>
      </c>
    </row>
    <row r="2" spans="1:10" x14ac:dyDescent="0.25">
      <c r="A2" s="1" t="s">
        <v>30</v>
      </c>
      <c r="B2" t="s">
        <v>83</v>
      </c>
      <c r="C2" s="1">
        <v>2013</v>
      </c>
      <c r="D2" s="1" t="s">
        <v>31</v>
      </c>
      <c r="E2" s="27">
        <v>1371.6999999999998</v>
      </c>
      <c r="F2" s="1">
        <v>105.1</v>
      </c>
      <c r="G2" s="1">
        <v>318.70000000000005</v>
      </c>
      <c r="H2" s="1">
        <v>310.60000000000002</v>
      </c>
      <c r="I2" s="1">
        <v>831</v>
      </c>
      <c r="J2" s="1">
        <v>105.1</v>
      </c>
    </row>
    <row r="3" spans="1:10" x14ac:dyDescent="0.25">
      <c r="A3" s="1" t="s">
        <v>33</v>
      </c>
      <c r="B3" t="s">
        <v>83</v>
      </c>
      <c r="C3" s="1">
        <v>2013</v>
      </c>
      <c r="D3" s="1" t="s">
        <v>31</v>
      </c>
      <c r="E3" s="1">
        <v>1376.4</v>
      </c>
      <c r="F3" s="1">
        <v>105.2</v>
      </c>
      <c r="G3" s="1">
        <v>316.7</v>
      </c>
      <c r="H3" s="1">
        <v>310.5</v>
      </c>
      <c r="I3" s="1">
        <v>829.30000000000007</v>
      </c>
      <c r="J3" s="1">
        <v>104</v>
      </c>
    </row>
    <row r="4" spans="1:10" x14ac:dyDescent="0.25">
      <c r="A4" s="1" t="s">
        <v>34</v>
      </c>
      <c r="B4" t="s">
        <v>83</v>
      </c>
      <c r="C4" s="1">
        <v>2013</v>
      </c>
      <c r="D4" s="1" t="s">
        <v>31</v>
      </c>
      <c r="E4" s="1">
        <v>1373.3000000000002</v>
      </c>
      <c r="F4" s="1">
        <v>105.1</v>
      </c>
      <c r="G4" s="1">
        <v>318</v>
      </c>
      <c r="H4" s="1">
        <v>310.60000000000002</v>
      </c>
      <c r="I4" s="1">
        <v>829.9</v>
      </c>
      <c r="J4" s="1">
        <v>104.6</v>
      </c>
    </row>
    <row r="5" spans="1:10" x14ac:dyDescent="0.25">
      <c r="A5" s="1" t="s">
        <v>30</v>
      </c>
      <c r="B5" t="s">
        <v>84</v>
      </c>
      <c r="C5" s="1">
        <v>2013</v>
      </c>
      <c r="D5" s="1" t="s">
        <v>35</v>
      </c>
      <c r="E5" s="1">
        <v>1380.3999999999999</v>
      </c>
      <c r="F5" s="1">
        <v>105.6</v>
      </c>
      <c r="G5" s="1">
        <v>320.39999999999998</v>
      </c>
      <c r="H5" s="1">
        <v>311.8</v>
      </c>
      <c r="I5" s="1">
        <v>833.9</v>
      </c>
      <c r="J5" s="1">
        <v>105.8</v>
      </c>
    </row>
    <row r="6" spans="1:10" x14ac:dyDescent="0.25">
      <c r="A6" s="1" t="s">
        <v>33</v>
      </c>
      <c r="B6" t="s">
        <v>84</v>
      </c>
      <c r="C6" s="1">
        <v>2013</v>
      </c>
      <c r="D6" s="1" t="s">
        <v>35</v>
      </c>
      <c r="E6" s="1">
        <v>1390.6000000000001</v>
      </c>
      <c r="F6" s="1">
        <v>106</v>
      </c>
      <c r="G6" s="1">
        <v>318.5</v>
      </c>
      <c r="H6" s="1">
        <v>311.3</v>
      </c>
      <c r="I6" s="1">
        <v>833.09999999999991</v>
      </c>
      <c r="J6" s="1">
        <v>104.7</v>
      </c>
    </row>
    <row r="7" spans="1:10" x14ac:dyDescent="0.25">
      <c r="A7" s="1" t="s">
        <v>34</v>
      </c>
      <c r="B7" t="s">
        <v>84</v>
      </c>
      <c r="C7" s="1">
        <v>2013</v>
      </c>
      <c r="D7" s="1" t="s">
        <v>35</v>
      </c>
      <c r="E7" s="1">
        <v>1384.2</v>
      </c>
      <c r="F7" s="1">
        <v>105.7</v>
      </c>
      <c r="G7" s="1">
        <v>319.7</v>
      </c>
      <c r="H7" s="1">
        <v>311.60000000000002</v>
      </c>
      <c r="I7" s="1">
        <v>833.5</v>
      </c>
      <c r="J7" s="1">
        <v>105.3</v>
      </c>
    </row>
    <row r="8" spans="1:10" x14ac:dyDescent="0.25">
      <c r="A8" s="1" t="s">
        <v>30</v>
      </c>
      <c r="B8" t="s">
        <v>85</v>
      </c>
      <c r="C8" s="1">
        <v>2013</v>
      </c>
      <c r="D8" s="1" t="s">
        <v>36</v>
      </c>
      <c r="E8" s="1">
        <v>1382.2</v>
      </c>
      <c r="F8" s="1">
        <v>106.5</v>
      </c>
      <c r="G8" s="1">
        <v>321.89999999999998</v>
      </c>
      <c r="H8" s="1">
        <v>312.10000000000002</v>
      </c>
      <c r="I8" s="1">
        <v>835.5</v>
      </c>
      <c r="J8" s="1">
        <v>106</v>
      </c>
    </row>
    <row r="9" spans="1:10" x14ac:dyDescent="0.25">
      <c r="A9" s="1" t="s">
        <v>33</v>
      </c>
      <c r="B9" t="s">
        <v>85</v>
      </c>
      <c r="C9" s="1">
        <v>2013</v>
      </c>
      <c r="D9" s="1" t="s">
        <v>36</v>
      </c>
      <c r="E9" s="1">
        <v>1386.8</v>
      </c>
      <c r="F9" s="1">
        <v>106.8</v>
      </c>
      <c r="G9" s="1">
        <v>320.2</v>
      </c>
      <c r="H9" s="1">
        <v>312.10000000000002</v>
      </c>
      <c r="I9" s="1">
        <v>836.1</v>
      </c>
      <c r="J9" s="1">
        <v>105</v>
      </c>
    </row>
    <row r="10" spans="1:10" x14ac:dyDescent="0.25">
      <c r="A10" s="1" t="s">
        <v>34</v>
      </c>
      <c r="B10" t="s">
        <v>85</v>
      </c>
      <c r="C10" s="1">
        <v>2013</v>
      </c>
      <c r="D10" s="1" t="s">
        <v>36</v>
      </c>
      <c r="E10" s="1">
        <v>1384.0000000000002</v>
      </c>
      <c r="F10" s="1">
        <v>106.6</v>
      </c>
      <c r="G10" s="1">
        <v>321.2</v>
      </c>
      <c r="H10" s="1">
        <v>312.10000000000002</v>
      </c>
      <c r="I10" s="1">
        <v>835.59999999999991</v>
      </c>
      <c r="J10" s="1">
        <v>105.5</v>
      </c>
    </row>
    <row r="11" spans="1:10" x14ac:dyDescent="0.25">
      <c r="A11" s="1" t="s">
        <v>30</v>
      </c>
      <c r="B11" t="s">
        <v>86</v>
      </c>
      <c r="C11" s="1">
        <v>2013</v>
      </c>
      <c r="D11" s="1" t="s">
        <v>37</v>
      </c>
      <c r="E11" s="1">
        <v>1385.8</v>
      </c>
      <c r="F11" s="1">
        <v>107.1</v>
      </c>
      <c r="G11" s="1">
        <v>323.5</v>
      </c>
      <c r="H11" s="1">
        <v>313.10000000000002</v>
      </c>
      <c r="I11" s="1">
        <v>836</v>
      </c>
      <c r="J11" s="1">
        <v>106.4</v>
      </c>
    </row>
    <row r="12" spans="1:10" x14ac:dyDescent="0.25">
      <c r="A12" s="1" t="s">
        <v>33</v>
      </c>
      <c r="B12" t="s">
        <v>86</v>
      </c>
      <c r="C12" s="1">
        <v>2013</v>
      </c>
      <c r="D12" s="1" t="s">
        <v>37</v>
      </c>
      <c r="E12" s="1">
        <v>1397.6999999999998</v>
      </c>
      <c r="F12" s="1">
        <v>108.5</v>
      </c>
      <c r="G12" s="1">
        <v>322</v>
      </c>
      <c r="H12" s="1">
        <v>313.39999999999998</v>
      </c>
      <c r="I12" s="1">
        <v>839.1</v>
      </c>
      <c r="J12" s="1">
        <v>105.7</v>
      </c>
    </row>
    <row r="13" spans="1:10" x14ac:dyDescent="0.25">
      <c r="A13" s="1" t="s">
        <v>34</v>
      </c>
      <c r="B13" t="s">
        <v>86</v>
      </c>
      <c r="C13" s="1">
        <v>2013</v>
      </c>
      <c r="D13" s="1" t="s">
        <v>37</v>
      </c>
      <c r="E13" s="1">
        <v>1390.2</v>
      </c>
      <c r="F13" s="1">
        <v>107.5</v>
      </c>
      <c r="G13" s="1">
        <v>322.89999999999998</v>
      </c>
      <c r="H13" s="1">
        <v>313.3</v>
      </c>
      <c r="I13" s="1">
        <v>837.2</v>
      </c>
      <c r="J13" s="1">
        <v>106.1</v>
      </c>
    </row>
    <row r="14" spans="1:10" x14ac:dyDescent="0.25">
      <c r="A14" s="1" t="s">
        <v>30</v>
      </c>
      <c r="B14" t="s">
        <v>87</v>
      </c>
      <c r="C14" s="1">
        <v>2013</v>
      </c>
      <c r="D14" s="1" t="s">
        <v>38</v>
      </c>
      <c r="E14" s="1">
        <v>1394</v>
      </c>
      <c r="F14" s="1">
        <v>108.1</v>
      </c>
      <c r="G14" s="1">
        <v>325.29999999999995</v>
      </c>
      <c r="H14" s="1">
        <v>314.8</v>
      </c>
      <c r="I14" s="1">
        <v>838.39999999999986</v>
      </c>
      <c r="J14" s="1">
        <v>107.2</v>
      </c>
    </row>
    <row r="15" spans="1:10" x14ac:dyDescent="0.25">
      <c r="A15" s="1" t="s">
        <v>33</v>
      </c>
      <c r="B15" t="s">
        <v>87</v>
      </c>
      <c r="C15" s="1">
        <v>2013</v>
      </c>
      <c r="D15" s="1" t="s">
        <v>38</v>
      </c>
      <c r="E15" s="1">
        <v>1417.1999999999998</v>
      </c>
      <c r="F15" s="1">
        <v>109.8</v>
      </c>
      <c r="G15" s="1">
        <v>323.5</v>
      </c>
      <c r="H15" s="1">
        <v>314.79999999999995</v>
      </c>
      <c r="I15" s="1">
        <v>839.8</v>
      </c>
      <c r="J15" s="1">
        <v>106.6</v>
      </c>
    </row>
    <row r="16" spans="1:10" x14ac:dyDescent="0.25">
      <c r="A16" s="1" t="s">
        <v>34</v>
      </c>
      <c r="B16" t="s">
        <v>87</v>
      </c>
      <c r="C16" s="1">
        <v>2013</v>
      </c>
      <c r="D16" s="1" t="s">
        <v>38</v>
      </c>
      <c r="E16" s="1">
        <v>1402.1999999999998</v>
      </c>
      <c r="F16" s="1">
        <v>108.6</v>
      </c>
      <c r="G16" s="1">
        <v>324.60000000000002</v>
      </c>
      <c r="H16" s="1">
        <v>314.8</v>
      </c>
      <c r="I16" s="1">
        <v>838.9</v>
      </c>
      <c r="J16" s="1">
        <v>106.9</v>
      </c>
    </row>
    <row r="17" spans="1:10" x14ac:dyDescent="0.25">
      <c r="A17" s="1" t="s">
        <v>30</v>
      </c>
      <c r="B17" t="s">
        <v>88</v>
      </c>
      <c r="C17" s="1">
        <v>2013</v>
      </c>
      <c r="D17" s="1" t="s">
        <v>39</v>
      </c>
      <c r="E17" s="1">
        <v>1420</v>
      </c>
      <c r="F17" s="1">
        <v>109</v>
      </c>
      <c r="G17" s="1">
        <v>328</v>
      </c>
      <c r="H17" s="1">
        <v>322.60000000000002</v>
      </c>
      <c r="I17" s="1">
        <v>844.2</v>
      </c>
      <c r="J17" s="1">
        <v>108.9</v>
      </c>
    </row>
    <row r="18" spans="1:10" x14ac:dyDescent="0.25">
      <c r="A18" s="1" t="s">
        <v>33</v>
      </c>
      <c r="B18" t="s">
        <v>88</v>
      </c>
      <c r="C18" s="1">
        <v>2013</v>
      </c>
      <c r="D18" s="1" t="s">
        <v>39</v>
      </c>
      <c r="E18" s="1">
        <v>1464.6000000000001</v>
      </c>
      <c r="F18" s="1">
        <v>110.9</v>
      </c>
      <c r="G18" s="1">
        <v>325.3</v>
      </c>
      <c r="H18" s="1">
        <v>322.3</v>
      </c>
      <c r="I18" s="1">
        <v>849</v>
      </c>
      <c r="J18" s="1">
        <v>109.7</v>
      </c>
    </row>
    <row r="19" spans="1:10" x14ac:dyDescent="0.25">
      <c r="A19" s="1" t="s">
        <v>34</v>
      </c>
      <c r="B19" t="s">
        <v>88</v>
      </c>
      <c r="C19" s="1">
        <v>2013</v>
      </c>
      <c r="D19" s="1" t="s">
        <v>39</v>
      </c>
      <c r="E19" s="1">
        <v>1436</v>
      </c>
      <c r="F19" s="1">
        <v>109.5</v>
      </c>
      <c r="G19" s="1">
        <v>326.89999999999998</v>
      </c>
      <c r="H19" s="1">
        <v>322.5</v>
      </c>
      <c r="I19" s="1">
        <v>846.69999999999982</v>
      </c>
      <c r="J19" s="1">
        <v>109.3</v>
      </c>
    </row>
    <row r="20" spans="1:10" x14ac:dyDescent="0.25">
      <c r="A20" s="1" t="s">
        <v>30</v>
      </c>
      <c r="B20" t="s">
        <v>89</v>
      </c>
      <c r="C20" s="1">
        <v>2013</v>
      </c>
      <c r="D20" s="1" t="s">
        <v>40</v>
      </c>
      <c r="E20" s="1">
        <v>1445.8999999999996</v>
      </c>
      <c r="F20" s="1">
        <v>109.8</v>
      </c>
      <c r="G20" s="1">
        <v>330.3</v>
      </c>
      <c r="H20" s="1">
        <v>325.5</v>
      </c>
      <c r="I20" s="1">
        <v>851.59999999999991</v>
      </c>
      <c r="J20" s="1">
        <v>110.7</v>
      </c>
    </row>
    <row r="21" spans="1:10" x14ac:dyDescent="0.25">
      <c r="A21" s="1" t="s">
        <v>33</v>
      </c>
      <c r="B21" t="s">
        <v>89</v>
      </c>
      <c r="C21" s="1">
        <v>2013</v>
      </c>
      <c r="D21" s="1" t="s">
        <v>40</v>
      </c>
      <c r="E21" s="1">
        <v>1489.4</v>
      </c>
      <c r="F21" s="1">
        <v>111.7</v>
      </c>
      <c r="G21" s="1">
        <v>327.10000000000002</v>
      </c>
      <c r="H21" s="1">
        <v>324.39999999999998</v>
      </c>
      <c r="I21" s="1">
        <v>858.09999999999991</v>
      </c>
      <c r="J21" s="1">
        <v>111.4</v>
      </c>
    </row>
    <row r="22" spans="1:10" x14ac:dyDescent="0.25">
      <c r="A22" s="1" t="s">
        <v>34</v>
      </c>
      <c r="B22" t="s">
        <v>89</v>
      </c>
      <c r="C22" s="1">
        <v>2013</v>
      </c>
      <c r="D22" s="1" t="s">
        <v>40</v>
      </c>
      <c r="E22" s="1">
        <v>1461.3999999999999</v>
      </c>
      <c r="F22" s="1">
        <v>110.3</v>
      </c>
      <c r="G22" s="1">
        <v>329</v>
      </c>
      <c r="H22" s="1">
        <v>325.10000000000002</v>
      </c>
      <c r="I22" s="1">
        <v>855.09999999999991</v>
      </c>
      <c r="J22" s="1">
        <v>111</v>
      </c>
    </row>
    <row r="23" spans="1:10" x14ac:dyDescent="0.25">
      <c r="A23" s="1" t="s">
        <v>30</v>
      </c>
      <c r="B23" t="s">
        <v>90</v>
      </c>
      <c r="C23" s="1">
        <v>2013</v>
      </c>
      <c r="D23" s="1" t="s">
        <v>41</v>
      </c>
      <c r="E23" s="1">
        <v>1462.5</v>
      </c>
      <c r="F23" s="1">
        <v>110.7</v>
      </c>
      <c r="G23" s="1">
        <v>332.6</v>
      </c>
      <c r="H23" s="1">
        <v>327.5</v>
      </c>
      <c r="I23" s="1">
        <v>859.5</v>
      </c>
      <c r="J23" s="1">
        <v>112.1</v>
      </c>
    </row>
    <row r="24" spans="1:10" x14ac:dyDescent="0.25">
      <c r="A24" s="1" t="s">
        <v>33</v>
      </c>
      <c r="B24" t="s">
        <v>90</v>
      </c>
      <c r="C24" s="1">
        <v>2013</v>
      </c>
      <c r="D24" s="1" t="s">
        <v>41</v>
      </c>
      <c r="E24" s="1">
        <v>1506.1000000000001</v>
      </c>
      <c r="F24" s="1">
        <v>112.4</v>
      </c>
      <c r="G24" s="1">
        <v>329.09999999999997</v>
      </c>
      <c r="H24" s="1">
        <v>326.89999999999998</v>
      </c>
      <c r="I24" s="1">
        <v>865.69999999999993</v>
      </c>
      <c r="J24" s="1">
        <v>112.7</v>
      </c>
    </row>
    <row r="25" spans="1:10" x14ac:dyDescent="0.25">
      <c r="A25" s="1" t="s">
        <v>34</v>
      </c>
      <c r="B25" t="s">
        <v>90</v>
      </c>
      <c r="C25" s="1">
        <v>2013</v>
      </c>
      <c r="D25" s="1" t="s">
        <v>41</v>
      </c>
      <c r="E25" s="1">
        <v>1477.4</v>
      </c>
      <c r="F25" s="1">
        <v>111.2</v>
      </c>
      <c r="G25" s="1">
        <v>331.1</v>
      </c>
      <c r="H25" s="1">
        <v>327.3</v>
      </c>
      <c r="I25" s="1">
        <v>862.69999999999993</v>
      </c>
      <c r="J25" s="1">
        <v>112.4</v>
      </c>
    </row>
    <row r="26" spans="1:10" x14ac:dyDescent="0.25">
      <c r="A26" s="1" t="s">
        <v>30</v>
      </c>
      <c r="B26" t="s">
        <v>91</v>
      </c>
      <c r="C26" s="1">
        <v>2013</v>
      </c>
      <c r="D26" s="1" t="s">
        <v>42</v>
      </c>
      <c r="E26" s="1">
        <v>1488.5000000000002</v>
      </c>
      <c r="F26" s="1">
        <v>111.7</v>
      </c>
      <c r="G26" s="1">
        <v>336.6</v>
      </c>
      <c r="H26" s="1">
        <v>330.4</v>
      </c>
      <c r="I26" s="1">
        <v>868.6</v>
      </c>
      <c r="J26" s="1">
        <v>114.2</v>
      </c>
    </row>
    <row r="27" spans="1:10" x14ac:dyDescent="0.25">
      <c r="A27" s="1" t="s">
        <v>33</v>
      </c>
      <c r="B27" t="s">
        <v>91</v>
      </c>
      <c r="C27" s="1">
        <v>2013</v>
      </c>
      <c r="D27" s="1" t="s">
        <v>42</v>
      </c>
      <c r="E27" s="1">
        <v>1500.4</v>
      </c>
      <c r="F27" s="1">
        <v>112.9</v>
      </c>
      <c r="G27" s="1">
        <v>331.5</v>
      </c>
      <c r="H27" s="1">
        <v>328.79999999999995</v>
      </c>
      <c r="I27" s="1">
        <v>872.3</v>
      </c>
      <c r="J27" s="1">
        <v>113.2</v>
      </c>
    </row>
    <row r="28" spans="1:10" x14ac:dyDescent="0.25">
      <c r="A28" s="1" t="s">
        <v>34</v>
      </c>
      <c r="B28" t="s">
        <v>91</v>
      </c>
      <c r="C28" s="1">
        <v>2013</v>
      </c>
      <c r="D28" s="1" t="s">
        <v>42</v>
      </c>
      <c r="E28" s="1">
        <v>1491.6999999999998</v>
      </c>
      <c r="F28" s="1">
        <v>112</v>
      </c>
      <c r="G28" s="1">
        <v>334.5</v>
      </c>
      <c r="H28" s="1">
        <v>329.79999999999995</v>
      </c>
      <c r="I28" s="1">
        <v>870.59999999999991</v>
      </c>
      <c r="J28" s="1">
        <v>113.7</v>
      </c>
    </row>
    <row r="29" spans="1:10" x14ac:dyDescent="0.25">
      <c r="A29" s="1" t="s">
        <v>30</v>
      </c>
      <c r="B29" t="s">
        <v>92</v>
      </c>
      <c r="C29" s="1">
        <v>2013</v>
      </c>
      <c r="D29" s="1" t="s">
        <v>43</v>
      </c>
      <c r="E29" s="1">
        <v>1508</v>
      </c>
      <c r="F29" s="1">
        <v>112.2</v>
      </c>
      <c r="G29" s="1">
        <v>339.29999999999995</v>
      </c>
      <c r="H29" s="1">
        <v>332.5</v>
      </c>
      <c r="I29" s="1">
        <v>872.40000000000009</v>
      </c>
      <c r="J29" s="1">
        <v>115.5</v>
      </c>
    </row>
    <row r="30" spans="1:10" x14ac:dyDescent="0.25">
      <c r="A30" s="1" t="s">
        <v>33</v>
      </c>
      <c r="B30" t="s">
        <v>92</v>
      </c>
      <c r="C30" s="1">
        <v>2013</v>
      </c>
      <c r="D30" s="1" t="s">
        <v>43</v>
      </c>
      <c r="E30" s="1">
        <v>1517.1999999999998</v>
      </c>
      <c r="F30" s="1">
        <v>113.5</v>
      </c>
      <c r="G30" s="1">
        <v>334.2</v>
      </c>
      <c r="H30" s="1">
        <v>330.4</v>
      </c>
      <c r="I30" s="1">
        <v>873.4</v>
      </c>
      <c r="J30" s="1">
        <v>114</v>
      </c>
    </row>
    <row r="31" spans="1:10" x14ac:dyDescent="0.25">
      <c r="A31" s="1" t="s">
        <v>34</v>
      </c>
      <c r="B31" t="s">
        <v>92</v>
      </c>
      <c r="C31" s="1">
        <v>2013</v>
      </c>
      <c r="D31" s="1" t="s">
        <v>43</v>
      </c>
      <c r="E31" s="1">
        <v>1510.2000000000003</v>
      </c>
      <c r="F31" s="1">
        <v>112.5</v>
      </c>
      <c r="G31" s="1">
        <v>337.20000000000005</v>
      </c>
      <c r="H31" s="1">
        <v>331.7</v>
      </c>
      <c r="I31" s="1">
        <v>873</v>
      </c>
      <c r="J31" s="1">
        <v>114.8</v>
      </c>
    </row>
    <row r="32" spans="1:10" x14ac:dyDescent="0.25">
      <c r="A32" s="1" t="s">
        <v>30</v>
      </c>
      <c r="B32" t="s">
        <v>93</v>
      </c>
      <c r="C32" s="1">
        <v>2013</v>
      </c>
      <c r="D32" s="1" t="s">
        <v>44</v>
      </c>
      <c r="E32" s="1">
        <v>1536.8</v>
      </c>
      <c r="F32" s="1">
        <v>112.8</v>
      </c>
      <c r="G32" s="1">
        <v>342.1</v>
      </c>
      <c r="H32" s="1">
        <v>335</v>
      </c>
      <c r="I32" s="1">
        <v>877.7</v>
      </c>
      <c r="J32" s="1">
        <v>117.4</v>
      </c>
    </row>
    <row r="33" spans="1:10" x14ac:dyDescent="0.25">
      <c r="A33" s="1" t="s">
        <v>33</v>
      </c>
      <c r="B33" t="s">
        <v>93</v>
      </c>
      <c r="C33" s="1">
        <v>2013</v>
      </c>
      <c r="D33" s="1" t="s">
        <v>44</v>
      </c>
      <c r="E33" s="1">
        <v>1544.6</v>
      </c>
      <c r="F33" s="1">
        <v>114.1</v>
      </c>
      <c r="G33" s="1">
        <v>336.80000000000007</v>
      </c>
      <c r="H33" s="1">
        <v>332</v>
      </c>
      <c r="I33" s="1">
        <v>875.3</v>
      </c>
      <c r="J33" s="1">
        <v>115</v>
      </c>
    </row>
    <row r="34" spans="1:10" x14ac:dyDescent="0.25">
      <c r="A34" s="1" t="s">
        <v>34</v>
      </c>
      <c r="B34" t="s">
        <v>93</v>
      </c>
      <c r="C34" s="1">
        <v>2013</v>
      </c>
      <c r="D34" s="1" t="s">
        <v>44</v>
      </c>
      <c r="E34" s="1">
        <v>1538.8</v>
      </c>
      <c r="F34" s="1">
        <v>113.1</v>
      </c>
      <c r="G34" s="1">
        <v>339.9</v>
      </c>
      <c r="H34" s="1">
        <v>333.79999999999995</v>
      </c>
      <c r="I34" s="1">
        <v>876.90000000000009</v>
      </c>
      <c r="J34" s="1">
        <v>116.3</v>
      </c>
    </row>
    <row r="35" spans="1:10" x14ac:dyDescent="0.25">
      <c r="A35" s="1" t="s">
        <v>30</v>
      </c>
      <c r="B35" t="s">
        <v>94</v>
      </c>
      <c r="C35" s="1">
        <v>2013</v>
      </c>
      <c r="D35" s="1" t="s">
        <v>45</v>
      </c>
      <c r="E35" s="1">
        <v>1509</v>
      </c>
      <c r="F35" s="1">
        <v>113.6</v>
      </c>
      <c r="G35" s="1">
        <v>345.29999999999995</v>
      </c>
      <c r="H35" s="1">
        <v>335.6</v>
      </c>
      <c r="I35" s="1">
        <v>880.7</v>
      </c>
      <c r="J35" s="1">
        <v>115.5</v>
      </c>
    </row>
    <row r="36" spans="1:10" x14ac:dyDescent="0.25">
      <c r="A36" s="1" t="s">
        <v>33</v>
      </c>
      <c r="B36" t="s">
        <v>94</v>
      </c>
      <c r="C36" s="1">
        <v>2013</v>
      </c>
      <c r="D36" s="1" t="s">
        <v>45</v>
      </c>
      <c r="E36" s="1">
        <v>1504.4</v>
      </c>
      <c r="F36" s="1">
        <v>115</v>
      </c>
      <c r="G36" s="1">
        <v>338.8</v>
      </c>
      <c r="H36" s="1">
        <v>332.40000000000003</v>
      </c>
      <c r="I36" s="1">
        <v>876.9</v>
      </c>
      <c r="J36" s="1">
        <v>113.3</v>
      </c>
    </row>
    <row r="37" spans="1:10" x14ac:dyDescent="0.25">
      <c r="A37" s="1" t="s">
        <v>34</v>
      </c>
      <c r="B37" t="s">
        <v>94</v>
      </c>
      <c r="C37" s="1">
        <v>2013</v>
      </c>
      <c r="D37" s="1" t="s">
        <v>45</v>
      </c>
      <c r="E37" s="1">
        <v>1507.3000000000002</v>
      </c>
      <c r="F37" s="1">
        <v>114</v>
      </c>
      <c r="G37" s="1">
        <v>342.70000000000005</v>
      </c>
      <c r="H37" s="1">
        <v>334.3</v>
      </c>
      <c r="I37" s="1">
        <v>879.09999999999991</v>
      </c>
      <c r="J37" s="1">
        <v>114.5</v>
      </c>
    </row>
    <row r="38" spans="1:10" x14ac:dyDescent="0.25">
      <c r="A38" s="1" t="s">
        <v>30</v>
      </c>
      <c r="B38" t="s">
        <v>95</v>
      </c>
      <c r="C38" s="1">
        <v>2014</v>
      </c>
      <c r="D38" s="1" t="s">
        <v>31</v>
      </c>
      <c r="E38" s="1">
        <v>1486.6000000000001</v>
      </c>
      <c r="F38" s="1">
        <v>114</v>
      </c>
      <c r="G38" s="1">
        <v>347.2</v>
      </c>
      <c r="H38" s="1">
        <v>337.2</v>
      </c>
      <c r="I38" s="1">
        <v>883.8</v>
      </c>
      <c r="J38" s="1">
        <v>114.2</v>
      </c>
    </row>
    <row r="39" spans="1:10" x14ac:dyDescent="0.25">
      <c r="A39" s="1" t="s">
        <v>33</v>
      </c>
      <c r="B39" t="s">
        <v>95</v>
      </c>
      <c r="C39" s="1">
        <v>2014</v>
      </c>
      <c r="D39" s="1" t="s">
        <v>31</v>
      </c>
      <c r="E39" s="1">
        <v>1484.3</v>
      </c>
      <c r="F39" s="1">
        <v>115.7</v>
      </c>
      <c r="G39" s="1">
        <v>340.4</v>
      </c>
      <c r="H39" s="1">
        <v>334.5</v>
      </c>
      <c r="I39" s="1">
        <v>881.5</v>
      </c>
      <c r="J39" s="1">
        <v>112.9</v>
      </c>
    </row>
    <row r="40" spans="1:10" x14ac:dyDescent="0.25">
      <c r="A40" s="1" t="s">
        <v>34</v>
      </c>
      <c r="B40" t="s">
        <v>95</v>
      </c>
      <c r="C40" s="1">
        <v>2014</v>
      </c>
      <c r="D40" s="1" t="s">
        <v>31</v>
      </c>
      <c r="E40" s="1">
        <v>1485.7999999999997</v>
      </c>
      <c r="F40" s="1">
        <v>114.5</v>
      </c>
      <c r="G40" s="1">
        <v>344.4</v>
      </c>
      <c r="H40" s="1">
        <v>336.1</v>
      </c>
      <c r="I40" s="1">
        <v>883</v>
      </c>
      <c r="J40" s="1">
        <v>113.6</v>
      </c>
    </row>
    <row r="41" spans="1:10" x14ac:dyDescent="0.25">
      <c r="A41" s="1" t="s">
        <v>30</v>
      </c>
      <c r="B41" t="s">
        <v>96</v>
      </c>
      <c r="C41" s="1">
        <v>2014</v>
      </c>
      <c r="D41" s="1" t="s">
        <v>35</v>
      </c>
      <c r="E41" s="1">
        <v>1482.2</v>
      </c>
      <c r="F41" s="1">
        <v>114.2</v>
      </c>
      <c r="G41" s="1">
        <v>348.3</v>
      </c>
      <c r="H41" s="1">
        <v>338.6</v>
      </c>
      <c r="I41" s="1">
        <v>886.1</v>
      </c>
      <c r="J41" s="1">
        <v>114</v>
      </c>
    </row>
    <row r="42" spans="1:10" x14ac:dyDescent="0.25">
      <c r="A42" s="1" t="s">
        <v>33</v>
      </c>
      <c r="B42" t="s">
        <v>96</v>
      </c>
      <c r="C42" s="1">
        <v>2014</v>
      </c>
      <c r="D42" s="1" t="s">
        <v>35</v>
      </c>
      <c r="E42" s="1">
        <v>1476</v>
      </c>
      <c r="F42" s="1">
        <v>116.2</v>
      </c>
      <c r="G42" s="1">
        <v>341.7</v>
      </c>
      <c r="H42" s="1">
        <v>336.2</v>
      </c>
      <c r="I42" s="1">
        <v>885.30000000000007</v>
      </c>
      <c r="J42" s="1">
        <v>113.1</v>
      </c>
    </row>
    <row r="43" spans="1:10" x14ac:dyDescent="0.25">
      <c r="A43" s="1" t="s">
        <v>34</v>
      </c>
      <c r="B43" t="s">
        <v>96</v>
      </c>
      <c r="C43" s="1">
        <v>2014</v>
      </c>
      <c r="D43" s="1" t="s">
        <v>35</v>
      </c>
      <c r="E43" s="1">
        <v>1480.1</v>
      </c>
      <c r="F43" s="1">
        <v>114.7</v>
      </c>
      <c r="G43" s="1">
        <v>345.6</v>
      </c>
      <c r="H43" s="1">
        <v>337.7</v>
      </c>
      <c r="I43" s="1">
        <v>885.80000000000007</v>
      </c>
      <c r="J43" s="1">
        <v>113.6</v>
      </c>
    </row>
    <row r="44" spans="1:10" x14ac:dyDescent="0.25">
      <c r="A44" s="1" t="s">
        <v>30</v>
      </c>
      <c r="B44" t="s">
        <v>97</v>
      </c>
      <c r="C44" s="1">
        <v>2014</v>
      </c>
      <c r="D44" s="1" t="s">
        <v>36</v>
      </c>
      <c r="E44" s="1">
        <v>1491.4</v>
      </c>
      <c r="F44" s="1">
        <v>114.6</v>
      </c>
      <c r="G44" s="1">
        <v>349.6</v>
      </c>
      <c r="H44" s="1">
        <v>340</v>
      </c>
      <c r="I44" s="1">
        <v>889.2</v>
      </c>
      <c r="J44" s="1">
        <v>114.6</v>
      </c>
    </row>
    <row r="45" spans="1:10" x14ac:dyDescent="0.25">
      <c r="A45" s="1" t="s">
        <v>33</v>
      </c>
      <c r="B45" t="s">
        <v>97</v>
      </c>
      <c r="C45" s="1">
        <v>2014</v>
      </c>
      <c r="D45" s="1" t="s">
        <v>36</v>
      </c>
      <c r="E45" s="1">
        <v>1483</v>
      </c>
      <c r="F45" s="1">
        <v>116.7</v>
      </c>
      <c r="G45" s="1">
        <v>343.09999999999997</v>
      </c>
      <c r="H45" s="1">
        <v>337.1</v>
      </c>
      <c r="I45" s="1">
        <v>888.30000000000007</v>
      </c>
      <c r="J45" s="1">
        <v>113.7</v>
      </c>
    </row>
    <row r="46" spans="1:10" x14ac:dyDescent="0.25">
      <c r="A46" s="1" t="s">
        <v>34</v>
      </c>
      <c r="B46" t="s">
        <v>97</v>
      </c>
      <c r="C46" s="1">
        <v>2014</v>
      </c>
      <c r="D46" s="1" t="s">
        <v>36</v>
      </c>
      <c r="E46" s="1">
        <v>1488.2999999999997</v>
      </c>
      <c r="F46" s="1">
        <v>115.2</v>
      </c>
      <c r="G46" s="1">
        <v>346.9</v>
      </c>
      <c r="H46" s="1">
        <v>338.9</v>
      </c>
      <c r="I46" s="1">
        <v>888.7</v>
      </c>
      <c r="J46" s="1">
        <v>114.2</v>
      </c>
    </row>
    <row r="47" spans="1:10" x14ac:dyDescent="0.25">
      <c r="A47" s="1" t="s">
        <v>30</v>
      </c>
      <c r="B47" t="s">
        <v>98</v>
      </c>
      <c r="C47" s="1">
        <v>2014</v>
      </c>
      <c r="D47" s="1" t="s">
        <v>37</v>
      </c>
      <c r="E47" s="1">
        <v>1504.1000000000001</v>
      </c>
      <c r="F47" s="1">
        <v>115.4</v>
      </c>
      <c r="G47" s="1">
        <v>352</v>
      </c>
      <c r="H47" s="1">
        <v>341</v>
      </c>
      <c r="I47" s="1">
        <v>891.7</v>
      </c>
      <c r="J47" s="1">
        <v>115.4</v>
      </c>
    </row>
    <row r="48" spans="1:10" x14ac:dyDescent="0.25">
      <c r="A48" s="1" t="s">
        <v>33</v>
      </c>
      <c r="B48" t="s">
        <v>98</v>
      </c>
      <c r="C48" s="1">
        <v>2014</v>
      </c>
      <c r="D48" s="1" t="s">
        <v>37</v>
      </c>
      <c r="E48" s="1">
        <v>1504.0000000000002</v>
      </c>
      <c r="F48" s="1">
        <v>117.6</v>
      </c>
      <c r="G48" s="1">
        <v>344.5</v>
      </c>
      <c r="H48" s="1">
        <v>338.20000000000005</v>
      </c>
      <c r="I48" s="1">
        <v>889.9</v>
      </c>
      <c r="J48" s="1">
        <v>114.7</v>
      </c>
    </row>
    <row r="49" spans="1:10" x14ac:dyDescent="0.25">
      <c r="A49" s="1" t="s">
        <v>34</v>
      </c>
      <c r="B49" t="s">
        <v>98</v>
      </c>
      <c r="C49" s="1">
        <v>2014</v>
      </c>
      <c r="D49" s="1" t="s">
        <v>37</v>
      </c>
      <c r="E49" s="1">
        <v>1504.1</v>
      </c>
      <c r="F49" s="1">
        <v>116</v>
      </c>
      <c r="G49" s="1">
        <v>349</v>
      </c>
      <c r="H49" s="1">
        <v>340</v>
      </c>
      <c r="I49" s="1">
        <v>891</v>
      </c>
      <c r="J49" s="1">
        <v>115.1</v>
      </c>
    </row>
    <row r="50" spans="1:10" x14ac:dyDescent="0.25">
      <c r="A50" s="1" t="s">
        <v>30</v>
      </c>
      <c r="B50" t="s">
        <v>99</v>
      </c>
      <c r="C50" s="1">
        <v>2014</v>
      </c>
      <c r="D50" s="1" t="s">
        <v>38</v>
      </c>
      <c r="E50" s="1">
        <v>1513.8999999999999</v>
      </c>
      <c r="F50" s="1">
        <v>116.3</v>
      </c>
      <c r="G50" s="1">
        <v>354</v>
      </c>
      <c r="H50" s="1">
        <v>341.79999999999995</v>
      </c>
      <c r="I50" s="1">
        <v>893.39999999999986</v>
      </c>
      <c r="J50" s="1">
        <v>116</v>
      </c>
    </row>
    <row r="51" spans="1:10" x14ac:dyDescent="0.25">
      <c r="A51" s="1" t="s">
        <v>33</v>
      </c>
      <c r="B51" t="s">
        <v>99</v>
      </c>
      <c r="C51" s="1">
        <v>2014</v>
      </c>
      <c r="D51" s="1" t="s">
        <v>38</v>
      </c>
      <c r="E51" s="1">
        <v>1525.3000000000002</v>
      </c>
      <c r="F51" s="1">
        <v>118.3</v>
      </c>
      <c r="G51" s="1">
        <v>345.9</v>
      </c>
      <c r="H51" s="1">
        <v>339.5</v>
      </c>
      <c r="I51" s="1">
        <v>892</v>
      </c>
      <c r="J51" s="1">
        <v>115.6</v>
      </c>
    </row>
    <row r="52" spans="1:10" x14ac:dyDescent="0.25">
      <c r="A52" s="1" t="s">
        <v>34</v>
      </c>
      <c r="B52" t="s">
        <v>99</v>
      </c>
      <c r="C52" s="1">
        <v>2014</v>
      </c>
      <c r="D52" s="1" t="s">
        <v>38</v>
      </c>
      <c r="E52" s="1">
        <v>1518.5000000000005</v>
      </c>
      <c r="F52" s="1">
        <v>116.8</v>
      </c>
      <c r="G52" s="1">
        <v>350.79999999999995</v>
      </c>
      <c r="H52" s="1">
        <v>340.9</v>
      </c>
      <c r="I52" s="1">
        <v>893</v>
      </c>
      <c r="J52" s="1">
        <v>115.8</v>
      </c>
    </row>
    <row r="53" spans="1:10" x14ac:dyDescent="0.25">
      <c r="A53" s="1" t="s">
        <v>30</v>
      </c>
      <c r="B53" t="s">
        <v>100</v>
      </c>
      <c r="C53" s="1">
        <v>2014</v>
      </c>
      <c r="D53" s="1" t="s">
        <v>39</v>
      </c>
      <c r="E53" s="1">
        <v>1525.6999999999998</v>
      </c>
      <c r="F53" s="1">
        <v>117.3</v>
      </c>
      <c r="G53" s="1">
        <v>356.3</v>
      </c>
      <c r="H53" s="1">
        <v>343.20000000000005</v>
      </c>
      <c r="I53" s="1">
        <v>898.1</v>
      </c>
      <c r="J53" s="1">
        <v>117</v>
      </c>
    </row>
    <row r="54" spans="1:10" x14ac:dyDescent="0.25">
      <c r="A54" s="1" t="s">
        <v>33</v>
      </c>
      <c r="B54" t="s">
        <v>100</v>
      </c>
      <c r="C54" s="1">
        <v>2014</v>
      </c>
      <c r="D54" s="1" t="s">
        <v>39</v>
      </c>
      <c r="E54" s="1">
        <v>1547</v>
      </c>
      <c r="F54" s="1">
        <v>119</v>
      </c>
      <c r="G54" s="1">
        <v>347.3</v>
      </c>
      <c r="H54" s="1">
        <v>339.40000000000003</v>
      </c>
      <c r="I54" s="1">
        <v>897.2</v>
      </c>
      <c r="J54" s="1">
        <v>116.4</v>
      </c>
    </row>
    <row r="55" spans="1:10" x14ac:dyDescent="0.25">
      <c r="A55" s="1" t="s">
        <v>34</v>
      </c>
      <c r="B55" t="s">
        <v>100</v>
      </c>
      <c r="C55" s="1">
        <v>2014</v>
      </c>
      <c r="D55" s="1" t="s">
        <v>39</v>
      </c>
      <c r="E55" s="1">
        <v>1533.7000000000003</v>
      </c>
      <c r="F55" s="1">
        <v>117.8</v>
      </c>
      <c r="G55" s="1">
        <v>352.7</v>
      </c>
      <c r="H55" s="1">
        <v>341.70000000000005</v>
      </c>
      <c r="I55" s="1">
        <v>898.19999999999993</v>
      </c>
      <c r="J55" s="1">
        <v>116.7</v>
      </c>
    </row>
    <row r="56" spans="1:10" x14ac:dyDescent="0.25">
      <c r="A56" s="1" t="s">
        <v>30</v>
      </c>
      <c r="B56" t="s">
        <v>101</v>
      </c>
      <c r="C56" s="1">
        <v>2014</v>
      </c>
      <c r="D56" s="1" t="s">
        <v>40</v>
      </c>
      <c r="E56" s="1">
        <v>1563.2</v>
      </c>
      <c r="F56" s="1">
        <v>118</v>
      </c>
      <c r="G56" s="1">
        <v>359.3</v>
      </c>
      <c r="H56" s="1">
        <v>345.5</v>
      </c>
      <c r="I56" s="1">
        <v>904.69999999999993</v>
      </c>
      <c r="J56" s="1">
        <v>119.5</v>
      </c>
    </row>
    <row r="57" spans="1:10" x14ac:dyDescent="0.25">
      <c r="A57" s="1" t="s">
        <v>33</v>
      </c>
      <c r="B57" t="s">
        <v>101</v>
      </c>
      <c r="C57" s="1">
        <v>2014</v>
      </c>
      <c r="D57" s="1" t="s">
        <v>40</v>
      </c>
      <c r="E57" s="1">
        <v>1599.5</v>
      </c>
      <c r="F57" s="1">
        <v>121</v>
      </c>
      <c r="G57" s="1">
        <v>349</v>
      </c>
      <c r="H57" s="1">
        <v>341.29999999999995</v>
      </c>
      <c r="I57" s="1">
        <v>907.2</v>
      </c>
      <c r="J57" s="1">
        <v>118.9</v>
      </c>
    </row>
    <row r="58" spans="1:10" x14ac:dyDescent="0.25">
      <c r="A58" s="1" t="s">
        <v>34</v>
      </c>
      <c r="B58" t="s">
        <v>101</v>
      </c>
      <c r="C58" s="1">
        <v>2014</v>
      </c>
      <c r="D58" s="1" t="s">
        <v>40</v>
      </c>
      <c r="E58" s="1">
        <v>1576.3</v>
      </c>
      <c r="F58" s="1">
        <v>118.8</v>
      </c>
      <c r="G58" s="1">
        <v>355</v>
      </c>
      <c r="H58" s="1">
        <v>343.9</v>
      </c>
      <c r="I58" s="1">
        <v>906.7</v>
      </c>
      <c r="J58" s="1">
        <v>119.2</v>
      </c>
    </row>
    <row r="59" spans="1:10" x14ac:dyDescent="0.25">
      <c r="A59" s="1" t="s">
        <v>30</v>
      </c>
      <c r="B59" t="s">
        <v>102</v>
      </c>
      <c r="C59" s="1">
        <v>2014</v>
      </c>
      <c r="D59" s="1" t="s">
        <v>41</v>
      </c>
      <c r="E59" s="1">
        <v>1582.2999999999997</v>
      </c>
      <c r="F59" s="1">
        <v>118.8</v>
      </c>
      <c r="G59" s="1">
        <v>360.4</v>
      </c>
      <c r="H59" s="1">
        <v>346.8</v>
      </c>
      <c r="I59" s="1">
        <v>908.69999999999982</v>
      </c>
      <c r="J59" s="1">
        <v>120.7</v>
      </c>
    </row>
    <row r="60" spans="1:10" x14ac:dyDescent="0.25">
      <c r="A60" s="1" t="s">
        <v>33</v>
      </c>
      <c r="B60" t="s">
        <v>102</v>
      </c>
      <c r="C60" s="1">
        <v>2014</v>
      </c>
      <c r="D60" s="1" t="s">
        <v>41</v>
      </c>
      <c r="E60" s="1">
        <v>1617</v>
      </c>
      <c r="F60" s="1">
        <v>123</v>
      </c>
      <c r="G60" s="1">
        <v>350.6</v>
      </c>
      <c r="H60" s="1">
        <v>342.6</v>
      </c>
      <c r="I60" s="1">
        <v>912.59999999999991</v>
      </c>
      <c r="J60" s="1">
        <v>119.9</v>
      </c>
    </row>
    <row r="61" spans="1:10" x14ac:dyDescent="0.25">
      <c r="A61" s="1" t="s">
        <v>34</v>
      </c>
      <c r="B61" t="s">
        <v>102</v>
      </c>
      <c r="C61" s="1">
        <v>2014</v>
      </c>
      <c r="D61" s="1" t="s">
        <v>41</v>
      </c>
      <c r="E61" s="1">
        <v>1594.4999999999998</v>
      </c>
      <c r="F61" s="1">
        <v>119.9</v>
      </c>
      <c r="G61" s="1">
        <v>356.4</v>
      </c>
      <c r="H61" s="1">
        <v>345.1</v>
      </c>
      <c r="I61" s="1">
        <v>911.60000000000014</v>
      </c>
      <c r="J61" s="1">
        <v>120.3</v>
      </c>
    </row>
    <row r="62" spans="1:10" x14ac:dyDescent="0.25">
      <c r="A62" s="1" t="s">
        <v>30</v>
      </c>
      <c r="B62" t="s">
        <v>103</v>
      </c>
      <c r="C62" s="1">
        <v>2014</v>
      </c>
      <c r="D62" s="1" t="s">
        <v>42</v>
      </c>
      <c r="E62" s="1">
        <v>1583.2</v>
      </c>
      <c r="F62" s="1">
        <v>119.5</v>
      </c>
      <c r="G62" s="1">
        <v>362.19999999999993</v>
      </c>
      <c r="H62" s="1">
        <v>348.59999999999997</v>
      </c>
      <c r="I62" s="1">
        <v>910.40000000000009</v>
      </c>
      <c r="J62" s="1">
        <v>120.9</v>
      </c>
    </row>
    <row r="63" spans="1:10" x14ac:dyDescent="0.25">
      <c r="A63" s="1" t="s">
        <v>33</v>
      </c>
      <c r="B63" t="s">
        <v>103</v>
      </c>
      <c r="C63" s="1">
        <v>2014</v>
      </c>
      <c r="D63" s="1" t="s">
        <v>42</v>
      </c>
      <c r="E63" s="1">
        <v>1593.7000000000003</v>
      </c>
      <c r="F63" s="1">
        <v>124.3</v>
      </c>
      <c r="G63" s="1">
        <v>352.1</v>
      </c>
      <c r="H63" s="1">
        <v>343.4</v>
      </c>
      <c r="I63" s="1">
        <v>912.8</v>
      </c>
      <c r="J63" s="1">
        <v>119.2</v>
      </c>
    </row>
    <row r="64" spans="1:10" x14ac:dyDescent="0.25">
      <c r="A64" s="1" t="s">
        <v>34</v>
      </c>
      <c r="B64" t="s">
        <v>103</v>
      </c>
      <c r="C64" s="1">
        <v>2014</v>
      </c>
      <c r="D64" s="1" t="s">
        <v>42</v>
      </c>
      <c r="E64" s="1">
        <v>1586.0999999999997</v>
      </c>
      <c r="F64" s="1">
        <v>120.8</v>
      </c>
      <c r="G64" s="1">
        <v>358</v>
      </c>
      <c r="H64" s="1">
        <v>346.5</v>
      </c>
      <c r="I64" s="1">
        <v>912.90000000000009</v>
      </c>
      <c r="J64" s="1">
        <v>120.1</v>
      </c>
    </row>
    <row r="65" spans="1:10" x14ac:dyDescent="0.25">
      <c r="A65" s="1" t="s">
        <v>30</v>
      </c>
      <c r="B65" t="s">
        <v>104</v>
      </c>
      <c r="C65" s="1">
        <v>2014</v>
      </c>
      <c r="D65" s="1" t="s">
        <v>43</v>
      </c>
      <c r="E65" s="1">
        <v>1581.1999999999998</v>
      </c>
      <c r="F65" s="1">
        <v>120</v>
      </c>
      <c r="G65" s="1">
        <v>365.3</v>
      </c>
      <c r="H65" s="1">
        <v>350.6</v>
      </c>
      <c r="I65" s="1">
        <v>913.3</v>
      </c>
      <c r="J65" s="1">
        <v>121</v>
      </c>
    </row>
    <row r="66" spans="1:10" x14ac:dyDescent="0.25">
      <c r="A66" s="1" t="s">
        <v>33</v>
      </c>
      <c r="B66" t="s">
        <v>104</v>
      </c>
      <c r="C66" s="1">
        <v>2014</v>
      </c>
      <c r="D66" s="1" t="s">
        <v>43</v>
      </c>
      <c r="E66" s="1">
        <v>1587.5</v>
      </c>
      <c r="F66" s="1">
        <v>124.3</v>
      </c>
      <c r="G66" s="1">
        <v>353.4</v>
      </c>
      <c r="H66" s="1">
        <v>344.5</v>
      </c>
      <c r="I66" s="1">
        <v>914</v>
      </c>
      <c r="J66" s="1">
        <v>119.1</v>
      </c>
    </row>
    <row r="67" spans="1:10" x14ac:dyDescent="0.25">
      <c r="A67" s="1" t="s">
        <v>34</v>
      </c>
      <c r="B67" t="s">
        <v>104</v>
      </c>
      <c r="C67" s="1">
        <v>2014</v>
      </c>
      <c r="D67" s="1" t="s">
        <v>43</v>
      </c>
      <c r="E67" s="1">
        <v>1582.7</v>
      </c>
      <c r="F67" s="1">
        <v>121.1</v>
      </c>
      <c r="G67" s="1">
        <v>360.6</v>
      </c>
      <c r="H67" s="1">
        <v>348.1</v>
      </c>
      <c r="I67" s="1">
        <v>914.80000000000007</v>
      </c>
      <c r="J67" s="1">
        <v>120.1</v>
      </c>
    </row>
    <row r="68" spans="1:10" x14ac:dyDescent="0.25">
      <c r="A68" s="1" t="s">
        <v>30</v>
      </c>
      <c r="B68" t="s">
        <v>105</v>
      </c>
      <c r="C68" s="1">
        <v>2014</v>
      </c>
      <c r="D68" s="1" t="s">
        <v>44</v>
      </c>
      <c r="E68" s="1">
        <v>1582</v>
      </c>
      <c r="F68" s="1">
        <v>120.8</v>
      </c>
      <c r="G68" s="1">
        <v>366.70000000000005</v>
      </c>
      <c r="H68" s="1">
        <v>352.5</v>
      </c>
      <c r="I68" s="1">
        <v>914.4</v>
      </c>
      <c r="J68" s="1">
        <v>121.1</v>
      </c>
    </row>
    <row r="69" spans="1:10" x14ac:dyDescent="0.25">
      <c r="A69" s="1" t="s">
        <v>33</v>
      </c>
      <c r="B69" t="s">
        <v>105</v>
      </c>
      <c r="C69" s="1">
        <v>2014</v>
      </c>
      <c r="D69" s="1" t="s">
        <v>44</v>
      </c>
      <c r="E69" s="1">
        <v>1587.8</v>
      </c>
      <c r="F69" s="1">
        <v>125.8</v>
      </c>
      <c r="G69" s="1">
        <v>355.19999999999993</v>
      </c>
      <c r="H69" s="1">
        <v>346.1</v>
      </c>
      <c r="I69" s="1">
        <v>913.3</v>
      </c>
      <c r="J69" s="1">
        <v>119</v>
      </c>
    </row>
    <row r="70" spans="1:10" x14ac:dyDescent="0.25">
      <c r="A70" s="1" t="s">
        <v>34</v>
      </c>
      <c r="B70" t="s">
        <v>105</v>
      </c>
      <c r="C70" s="1">
        <v>2014</v>
      </c>
      <c r="D70" s="1" t="s">
        <v>44</v>
      </c>
      <c r="E70" s="1">
        <v>1583.2</v>
      </c>
      <c r="F70" s="1">
        <v>122.1</v>
      </c>
      <c r="G70" s="1">
        <v>362.1</v>
      </c>
      <c r="H70" s="1">
        <v>349.9</v>
      </c>
      <c r="I70" s="1">
        <v>915</v>
      </c>
      <c r="J70" s="1">
        <v>120.1</v>
      </c>
    </row>
    <row r="71" spans="1:10" x14ac:dyDescent="0.25">
      <c r="A71" s="1" t="s">
        <v>30</v>
      </c>
      <c r="B71" t="s">
        <v>106</v>
      </c>
      <c r="C71" s="1">
        <v>2014</v>
      </c>
      <c r="D71" s="1" t="s">
        <v>45</v>
      </c>
      <c r="E71" s="1">
        <v>1569.6</v>
      </c>
      <c r="F71" s="1">
        <v>121.7</v>
      </c>
      <c r="G71" s="1">
        <v>367.70000000000005</v>
      </c>
      <c r="H71" s="1">
        <v>352.1</v>
      </c>
      <c r="I71" s="1">
        <v>916.19999999999993</v>
      </c>
      <c r="J71" s="1">
        <v>120.3</v>
      </c>
    </row>
    <row r="72" spans="1:10" x14ac:dyDescent="0.25">
      <c r="A72" s="1" t="s">
        <v>33</v>
      </c>
      <c r="B72" t="s">
        <v>106</v>
      </c>
      <c r="C72" s="1">
        <v>2014</v>
      </c>
      <c r="D72" s="1" t="s">
        <v>45</v>
      </c>
      <c r="E72" s="1">
        <v>1577.1999999999998</v>
      </c>
      <c r="F72" s="1">
        <v>126.4</v>
      </c>
      <c r="G72" s="1">
        <v>356.5</v>
      </c>
      <c r="H72" s="1">
        <v>346.3</v>
      </c>
      <c r="I72" s="1">
        <v>914.69999999999993</v>
      </c>
      <c r="J72" s="1">
        <v>118.4</v>
      </c>
    </row>
    <row r="73" spans="1:10" x14ac:dyDescent="0.25">
      <c r="A73" s="1" t="s">
        <v>34</v>
      </c>
      <c r="B73" t="s">
        <v>106</v>
      </c>
      <c r="C73" s="1">
        <v>2014</v>
      </c>
      <c r="D73" s="1" t="s">
        <v>45</v>
      </c>
      <c r="E73" s="1">
        <v>1571.6999999999998</v>
      </c>
      <c r="F73" s="1">
        <v>123</v>
      </c>
      <c r="G73" s="1">
        <v>363.2</v>
      </c>
      <c r="H73" s="1">
        <v>349.7</v>
      </c>
      <c r="I73" s="1">
        <v>916.8</v>
      </c>
      <c r="J73" s="1">
        <v>119.4</v>
      </c>
    </row>
    <row r="74" spans="1:10" x14ac:dyDescent="0.25">
      <c r="A74" s="1" t="s">
        <v>30</v>
      </c>
      <c r="B74" t="s">
        <v>107</v>
      </c>
      <c r="C74" s="1">
        <v>2015</v>
      </c>
      <c r="D74" s="1" t="s">
        <v>31</v>
      </c>
      <c r="E74" s="1">
        <v>1568.1</v>
      </c>
      <c r="F74" s="1">
        <v>122.7</v>
      </c>
      <c r="G74" s="1">
        <v>370</v>
      </c>
      <c r="H74" s="1">
        <v>354.6</v>
      </c>
      <c r="I74" s="1">
        <v>919.3</v>
      </c>
      <c r="J74" s="1">
        <v>120.3</v>
      </c>
    </row>
    <row r="75" spans="1:10" x14ac:dyDescent="0.25">
      <c r="A75" s="1" t="s">
        <v>33</v>
      </c>
      <c r="B75" t="s">
        <v>107</v>
      </c>
      <c r="C75" s="1">
        <v>2015</v>
      </c>
      <c r="D75" s="1" t="s">
        <v>31</v>
      </c>
      <c r="E75" s="1">
        <v>1574.8999999999999</v>
      </c>
      <c r="F75" s="1">
        <v>127.4</v>
      </c>
      <c r="G75" s="1">
        <v>357.30000000000007</v>
      </c>
      <c r="H75" s="1">
        <v>347.9</v>
      </c>
      <c r="I75" s="1">
        <v>916.3</v>
      </c>
      <c r="J75" s="1">
        <v>118.5</v>
      </c>
    </row>
    <row r="76" spans="1:10" x14ac:dyDescent="0.25">
      <c r="A76" s="1" t="s">
        <v>34</v>
      </c>
      <c r="B76" t="s">
        <v>107</v>
      </c>
      <c r="C76" s="1">
        <v>2015</v>
      </c>
      <c r="D76" s="1" t="s">
        <v>31</v>
      </c>
      <c r="E76" s="1">
        <v>1569.3</v>
      </c>
      <c r="F76" s="1">
        <v>124</v>
      </c>
      <c r="G76" s="1">
        <v>364.9</v>
      </c>
      <c r="H76" s="1">
        <v>351.9</v>
      </c>
      <c r="I76" s="1">
        <v>918.80000000000018</v>
      </c>
      <c r="J76" s="1">
        <v>119.5</v>
      </c>
    </row>
    <row r="77" spans="1:10" x14ac:dyDescent="0.25">
      <c r="A77" s="1" t="s">
        <v>30</v>
      </c>
      <c r="B77" t="s">
        <v>108</v>
      </c>
      <c r="C77" s="1">
        <v>2015</v>
      </c>
      <c r="D77" s="1" t="s">
        <v>35</v>
      </c>
      <c r="E77" s="1">
        <v>1570.5999999999997</v>
      </c>
      <c r="F77" s="1">
        <v>124.2</v>
      </c>
      <c r="G77" s="1">
        <v>373.1</v>
      </c>
      <c r="H77" s="1">
        <v>357.7</v>
      </c>
      <c r="I77" s="1">
        <v>924.3</v>
      </c>
      <c r="J77" s="1">
        <v>120.6</v>
      </c>
    </row>
    <row r="78" spans="1:10" x14ac:dyDescent="0.25">
      <c r="A78" s="1" t="s">
        <v>33</v>
      </c>
      <c r="B78" t="s">
        <v>108</v>
      </c>
      <c r="C78" s="1">
        <v>2015</v>
      </c>
      <c r="D78" s="1" t="s">
        <v>35</v>
      </c>
      <c r="E78" s="1">
        <v>1571.1000000000001</v>
      </c>
      <c r="F78" s="1">
        <v>128.1</v>
      </c>
      <c r="G78" s="1">
        <v>358.4</v>
      </c>
      <c r="H78" s="1">
        <v>349.8</v>
      </c>
      <c r="I78" s="1">
        <v>915.60000000000014</v>
      </c>
      <c r="J78" s="1">
        <v>118.7</v>
      </c>
    </row>
    <row r="79" spans="1:10" x14ac:dyDescent="0.25">
      <c r="A79" s="1" t="s">
        <v>34</v>
      </c>
      <c r="B79" t="s">
        <v>108</v>
      </c>
      <c r="C79" s="1">
        <v>2015</v>
      </c>
      <c r="D79" s="1" t="s">
        <v>35</v>
      </c>
      <c r="E79" s="1">
        <v>1569.3999999999996</v>
      </c>
      <c r="F79" s="1">
        <v>125.2</v>
      </c>
      <c r="G79" s="1">
        <v>367.2</v>
      </c>
      <c r="H79" s="1">
        <v>354.5</v>
      </c>
      <c r="I79" s="1">
        <v>920.90000000000009</v>
      </c>
      <c r="J79" s="1">
        <v>119.7</v>
      </c>
    </row>
    <row r="80" spans="1:10" x14ac:dyDescent="0.25">
      <c r="A80" s="1" t="s">
        <v>30</v>
      </c>
      <c r="B80" t="s">
        <v>109</v>
      </c>
      <c r="C80" s="1">
        <v>2015</v>
      </c>
      <c r="D80" s="1" t="s">
        <v>36</v>
      </c>
      <c r="E80" s="1">
        <v>1571.5</v>
      </c>
      <c r="F80" s="1">
        <v>124.7</v>
      </c>
      <c r="G80" s="1">
        <v>374.4</v>
      </c>
      <c r="H80" s="1">
        <v>359.4</v>
      </c>
      <c r="I80" s="1">
        <v>928.6</v>
      </c>
      <c r="J80" s="1">
        <v>121.1</v>
      </c>
    </row>
    <row r="81" spans="1:10" x14ac:dyDescent="0.25">
      <c r="A81" s="1" t="s">
        <v>33</v>
      </c>
      <c r="B81" t="s">
        <v>109</v>
      </c>
      <c r="C81" s="1">
        <v>2015</v>
      </c>
      <c r="D81" s="1" t="s">
        <v>36</v>
      </c>
      <c r="E81" s="1">
        <v>1568.0000000000002</v>
      </c>
      <c r="F81" s="1">
        <v>128.80000000000001</v>
      </c>
      <c r="G81" s="1">
        <v>359.5</v>
      </c>
      <c r="H81" s="1">
        <v>351</v>
      </c>
      <c r="I81" s="1">
        <v>918.69999999999982</v>
      </c>
      <c r="J81" s="1">
        <v>119.1</v>
      </c>
    </row>
    <row r="82" spans="1:10" x14ac:dyDescent="0.25">
      <c r="A82" s="1" t="s">
        <v>34</v>
      </c>
      <c r="B82" t="s">
        <v>109</v>
      </c>
      <c r="C82" s="1">
        <v>2015</v>
      </c>
      <c r="D82" s="1" t="s">
        <v>36</v>
      </c>
      <c r="E82" s="1">
        <v>1569.1</v>
      </c>
      <c r="F82" s="1">
        <v>125.8</v>
      </c>
      <c r="G82" s="1">
        <v>368.4</v>
      </c>
      <c r="H82" s="1">
        <v>356.09999999999997</v>
      </c>
      <c r="I82" s="1">
        <v>924.60000000000014</v>
      </c>
      <c r="J82" s="1">
        <v>120.2</v>
      </c>
    </row>
    <row r="83" spans="1:10" x14ac:dyDescent="0.25">
      <c r="A83" s="1" t="s">
        <v>30</v>
      </c>
      <c r="B83" t="s">
        <v>110</v>
      </c>
      <c r="C83" s="1">
        <v>2015</v>
      </c>
      <c r="D83" s="1" t="s">
        <v>37</v>
      </c>
      <c r="E83" s="1">
        <v>1577.2</v>
      </c>
      <c r="F83" s="1">
        <v>125.7</v>
      </c>
      <c r="G83" s="1">
        <v>375.69999999999993</v>
      </c>
      <c r="H83" s="1">
        <v>361.3</v>
      </c>
      <c r="I83" s="1">
        <v>932.69999999999993</v>
      </c>
      <c r="J83" s="1">
        <v>121.5</v>
      </c>
    </row>
    <row r="84" spans="1:10" x14ac:dyDescent="0.25">
      <c r="A84" s="1" t="s">
        <v>33</v>
      </c>
      <c r="B84" t="s">
        <v>110</v>
      </c>
      <c r="C84" s="1">
        <v>2015</v>
      </c>
      <c r="D84" s="1" t="s">
        <v>37</v>
      </c>
      <c r="E84" s="1">
        <v>1576.1</v>
      </c>
      <c r="F84" s="1">
        <v>130.1</v>
      </c>
      <c r="G84" s="1">
        <v>360.6</v>
      </c>
      <c r="H84" s="1">
        <v>352.3</v>
      </c>
      <c r="I84" s="1">
        <v>922.60000000000014</v>
      </c>
      <c r="J84" s="1">
        <v>119.7</v>
      </c>
    </row>
    <row r="85" spans="1:10" x14ac:dyDescent="0.25">
      <c r="A85" s="1" t="s">
        <v>34</v>
      </c>
      <c r="B85" t="s">
        <v>110</v>
      </c>
      <c r="C85" s="1">
        <v>2015</v>
      </c>
      <c r="D85" s="1" t="s">
        <v>37</v>
      </c>
      <c r="E85" s="1">
        <v>1575.7</v>
      </c>
      <c r="F85" s="1">
        <v>126.9</v>
      </c>
      <c r="G85" s="1">
        <v>369.6</v>
      </c>
      <c r="H85" s="1">
        <v>357.6</v>
      </c>
      <c r="I85" s="1">
        <v>929.00000000000011</v>
      </c>
      <c r="J85" s="1">
        <v>120.7</v>
      </c>
    </row>
    <row r="86" spans="1:10" x14ac:dyDescent="0.25">
      <c r="A86" s="1" t="s">
        <v>30</v>
      </c>
      <c r="B86" t="s">
        <v>111</v>
      </c>
      <c r="C86" s="1">
        <v>2015</v>
      </c>
      <c r="D86" s="1" t="s">
        <v>38</v>
      </c>
      <c r="E86" s="1">
        <v>1587.7</v>
      </c>
      <c r="F86" s="1">
        <v>126.7</v>
      </c>
      <c r="G86" s="1">
        <v>378.2</v>
      </c>
      <c r="H86" s="1">
        <v>363</v>
      </c>
      <c r="I86" s="1">
        <v>938.99999999999989</v>
      </c>
      <c r="J86" s="1">
        <v>122.4</v>
      </c>
    </row>
    <row r="87" spans="1:10" x14ac:dyDescent="0.25">
      <c r="A87" s="1" t="s">
        <v>33</v>
      </c>
      <c r="B87" t="s">
        <v>111</v>
      </c>
      <c r="C87" s="1">
        <v>2015</v>
      </c>
      <c r="D87" s="1" t="s">
        <v>38</v>
      </c>
      <c r="E87" s="1">
        <v>1598.9</v>
      </c>
      <c r="F87" s="1">
        <v>131.30000000000001</v>
      </c>
      <c r="G87" s="1">
        <v>361.4</v>
      </c>
      <c r="H87" s="1">
        <v>353.2</v>
      </c>
      <c r="I87" s="1">
        <v>928.19999999999993</v>
      </c>
      <c r="J87" s="1">
        <v>120.7</v>
      </c>
    </row>
    <row r="88" spans="1:10" x14ac:dyDescent="0.25">
      <c r="A88" s="1" t="s">
        <v>34</v>
      </c>
      <c r="B88" t="s">
        <v>111</v>
      </c>
      <c r="C88" s="1">
        <v>2015</v>
      </c>
      <c r="D88" s="1" t="s">
        <v>38</v>
      </c>
      <c r="E88" s="1">
        <v>1590.4</v>
      </c>
      <c r="F88" s="1">
        <v>127.9</v>
      </c>
      <c r="G88" s="1">
        <v>371.4</v>
      </c>
      <c r="H88" s="1">
        <v>359</v>
      </c>
      <c r="I88" s="1">
        <v>934.9</v>
      </c>
      <c r="J88" s="1">
        <v>121.6</v>
      </c>
    </row>
    <row r="89" spans="1:10" x14ac:dyDescent="0.25">
      <c r="A89" s="1" t="s">
        <v>30</v>
      </c>
      <c r="B89" t="s">
        <v>112</v>
      </c>
      <c r="C89" s="1">
        <v>2015</v>
      </c>
      <c r="D89" s="1" t="s">
        <v>39</v>
      </c>
      <c r="E89" s="1">
        <v>1617.8999999999999</v>
      </c>
      <c r="F89" s="1">
        <v>128.19999999999999</v>
      </c>
      <c r="G89" s="1">
        <v>381.5</v>
      </c>
      <c r="H89" s="1">
        <v>364.4</v>
      </c>
      <c r="I89" s="1">
        <v>947.8</v>
      </c>
      <c r="J89" s="1">
        <v>124.1</v>
      </c>
    </row>
    <row r="90" spans="1:10" x14ac:dyDescent="0.25">
      <c r="A90" s="1" t="s">
        <v>33</v>
      </c>
      <c r="B90" t="s">
        <v>112</v>
      </c>
      <c r="C90" s="1">
        <v>2015</v>
      </c>
      <c r="D90" s="1" t="s">
        <v>39</v>
      </c>
      <c r="E90" s="1">
        <v>1636.6</v>
      </c>
      <c r="F90" s="1">
        <v>132.1</v>
      </c>
      <c r="G90" s="1">
        <v>363.1</v>
      </c>
      <c r="H90" s="1">
        <v>353.3</v>
      </c>
      <c r="I90" s="1">
        <v>934.8</v>
      </c>
      <c r="J90" s="1">
        <v>121.7</v>
      </c>
    </row>
    <row r="91" spans="1:10" x14ac:dyDescent="0.25">
      <c r="A91" s="1" t="s">
        <v>34</v>
      </c>
      <c r="B91" t="s">
        <v>112</v>
      </c>
      <c r="C91" s="1">
        <v>2015</v>
      </c>
      <c r="D91" s="1" t="s">
        <v>39</v>
      </c>
      <c r="E91" s="1">
        <v>1623.5</v>
      </c>
      <c r="F91" s="1">
        <v>129.19999999999999</v>
      </c>
      <c r="G91" s="1">
        <v>374.1</v>
      </c>
      <c r="H91" s="1">
        <v>359.9</v>
      </c>
      <c r="I91" s="1">
        <v>942.8</v>
      </c>
      <c r="J91" s="1">
        <v>123</v>
      </c>
    </row>
    <row r="92" spans="1:10" x14ac:dyDescent="0.25">
      <c r="A92" s="1" t="s">
        <v>30</v>
      </c>
      <c r="B92" t="s">
        <v>113</v>
      </c>
      <c r="C92" s="1">
        <v>2015</v>
      </c>
      <c r="D92" s="1" t="s">
        <v>40</v>
      </c>
      <c r="E92" s="1">
        <v>1625.3</v>
      </c>
      <c r="F92" s="1">
        <v>129.4</v>
      </c>
      <c r="G92" s="1">
        <v>382.6</v>
      </c>
      <c r="H92" s="1">
        <v>365.9</v>
      </c>
      <c r="I92" s="1">
        <v>950.3</v>
      </c>
      <c r="J92" s="1">
        <v>124.7</v>
      </c>
    </row>
    <row r="93" spans="1:10" x14ac:dyDescent="0.25">
      <c r="A93" s="1" t="s">
        <v>33</v>
      </c>
      <c r="B93" t="s">
        <v>113</v>
      </c>
      <c r="C93" s="1">
        <v>2015</v>
      </c>
      <c r="D93" s="1" t="s">
        <v>40</v>
      </c>
      <c r="E93" s="1">
        <v>1642.8999999999999</v>
      </c>
      <c r="F93" s="1">
        <v>133.1</v>
      </c>
      <c r="G93" s="1">
        <v>364.1</v>
      </c>
      <c r="H93" s="1">
        <v>354.7</v>
      </c>
      <c r="I93" s="1">
        <v>938.9</v>
      </c>
      <c r="J93" s="1">
        <v>122.4</v>
      </c>
    </row>
    <row r="94" spans="1:10" x14ac:dyDescent="0.25">
      <c r="A94" s="1" t="s">
        <v>34</v>
      </c>
      <c r="B94" t="s">
        <v>113</v>
      </c>
      <c r="C94" s="1">
        <v>2015</v>
      </c>
      <c r="D94" s="1" t="s">
        <v>40</v>
      </c>
      <c r="E94" s="1">
        <v>1630.6000000000001</v>
      </c>
      <c r="F94" s="1">
        <v>130.4</v>
      </c>
      <c r="G94" s="1">
        <v>375.1</v>
      </c>
      <c r="H94" s="1">
        <v>361.3</v>
      </c>
      <c r="I94" s="1">
        <v>946.19999999999993</v>
      </c>
      <c r="J94" s="1">
        <v>123.6</v>
      </c>
    </row>
    <row r="95" spans="1:10" x14ac:dyDescent="0.25">
      <c r="A95" s="1" t="s">
        <v>30</v>
      </c>
      <c r="B95" t="s">
        <v>114</v>
      </c>
      <c r="C95" s="1">
        <v>2015</v>
      </c>
      <c r="D95" s="1" t="s">
        <v>41</v>
      </c>
      <c r="E95" s="1">
        <v>1646.6</v>
      </c>
      <c r="F95" s="1">
        <v>130.1</v>
      </c>
      <c r="G95" s="1">
        <v>384.8</v>
      </c>
      <c r="H95" s="1">
        <v>368.4</v>
      </c>
      <c r="I95" s="1">
        <v>952.2</v>
      </c>
      <c r="J95" s="1">
        <v>126.1</v>
      </c>
    </row>
    <row r="96" spans="1:10" x14ac:dyDescent="0.25">
      <c r="A96" s="1" t="s">
        <v>33</v>
      </c>
      <c r="B96" t="s">
        <v>114</v>
      </c>
      <c r="C96" s="1">
        <v>2015</v>
      </c>
      <c r="D96" s="1" t="s">
        <v>41</v>
      </c>
      <c r="E96" s="1">
        <v>1658.8999999999999</v>
      </c>
      <c r="F96" s="1">
        <v>134.19999999999999</v>
      </c>
      <c r="G96" s="1">
        <v>364.8</v>
      </c>
      <c r="H96" s="1">
        <v>356.2</v>
      </c>
      <c r="I96" s="1">
        <v>940.90000000000009</v>
      </c>
      <c r="J96" s="1">
        <v>123.2</v>
      </c>
    </row>
    <row r="97" spans="1:10" x14ac:dyDescent="0.25">
      <c r="A97" s="1" t="s">
        <v>34</v>
      </c>
      <c r="B97" t="s">
        <v>114</v>
      </c>
      <c r="C97" s="1">
        <v>2015</v>
      </c>
      <c r="D97" s="1" t="s">
        <v>41</v>
      </c>
      <c r="E97" s="1">
        <v>1649.6</v>
      </c>
      <c r="F97" s="1">
        <v>131.19999999999999</v>
      </c>
      <c r="G97" s="1">
        <v>376.70000000000005</v>
      </c>
      <c r="H97" s="1">
        <v>363.5</v>
      </c>
      <c r="I97" s="1">
        <v>948</v>
      </c>
      <c r="J97" s="1">
        <v>124.8</v>
      </c>
    </row>
    <row r="98" spans="1:10" x14ac:dyDescent="0.25">
      <c r="A98" s="1" t="s">
        <v>30</v>
      </c>
      <c r="B98" t="s">
        <v>115</v>
      </c>
      <c r="C98" s="1">
        <v>2015</v>
      </c>
      <c r="D98" s="1" t="s">
        <v>42</v>
      </c>
      <c r="E98" s="1">
        <v>1657.6000000000001</v>
      </c>
      <c r="F98" s="1">
        <v>131</v>
      </c>
      <c r="G98" s="1">
        <v>387.1</v>
      </c>
      <c r="H98" s="1">
        <v>369.8</v>
      </c>
      <c r="I98" s="1">
        <v>957.69999999999993</v>
      </c>
      <c r="J98" s="1">
        <v>127</v>
      </c>
    </row>
    <row r="99" spans="1:10" x14ac:dyDescent="0.25">
      <c r="A99" s="1" t="s">
        <v>33</v>
      </c>
      <c r="B99" t="s">
        <v>115</v>
      </c>
      <c r="C99" s="1">
        <v>2015</v>
      </c>
      <c r="D99" s="1" t="s">
        <v>42</v>
      </c>
      <c r="E99" s="1">
        <v>1664.8</v>
      </c>
      <c r="F99" s="1">
        <v>134.69999999999999</v>
      </c>
      <c r="G99" s="1">
        <v>365.80000000000007</v>
      </c>
      <c r="H99" s="1">
        <v>357.1</v>
      </c>
      <c r="I99" s="1">
        <v>942.7</v>
      </c>
      <c r="J99" s="1">
        <v>123.5</v>
      </c>
    </row>
    <row r="100" spans="1:10" x14ac:dyDescent="0.25">
      <c r="A100" s="1" t="s">
        <v>34</v>
      </c>
      <c r="B100" t="s">
        <v>115</v>
      </c>
      <c r="C100" s="1">
        <v>2015</v>
      </c>
      <c r="D100" s="1" t="s">
        <v>42</v>
      </c>
      <c r="E100" s="1">
        <v>1658.3000000000002</v>
      </c>
      <c r="F100" s="1">
        <v>132</v>
      </c>
      <c r="G100" s="1">
        <v>378.5</v>
      </c>
      <c r="H100" s="1">
        <v>364.6</v>
      </c>
      <c r="I100" s="1">
        <v>951.5</v>
      </c>
      <c r="J100" s="1">
        <v>125.4</v>
      </c>
    </row>
    <row r="101" spans="1:10" x14ac:dyDescent="0.25">
      <c r="A101" s="1" t="s">
        <v>30</v>
      </c>
      <c r="B101" t="s">
        <v>116</v>
      </c>
      <c r="C101" s="1">
        <v>2015</v>
      </c>
      <c r="D101" s="1" t="s">
        <v>43</v>
      </c>
      <c r="E101" s="1">
        <v>1674.6</v>
      </c>
      <c r="F101" s="1">
        <v>131.5</v>
      </c>
      <c r="G101" s="1">
        <v>389</v>
      </c>
      <c r="H101" s="1">
        <v>371.9</v>
      </c>
      <c r="I101" s="1">
        <v>961.50000000000011</v>
      </c>
      <c r="J101" s="1">
        <v>127.7</v>
      </c>
    </row>
    <row r="102" spans="1:10" x14ac:dyDescent="0.25">
      <c r="A102" s="1" t="s">
        <v>33</v>
      </c>
      <c r="B102" t="s">
        <v>116</v>
      </c>
      <c r="C102" s="1">
        <v>2015</v>
      </c>
      <c r="D102" s="1" t="s">
        <v>43</v>
      </c>
      <c r="E102" s="1">
        <v>1692.8000000000002</v>
      </c>
      <c r="F102" s="1">
        <v>135.30000000000001</v>
      </c>
      <c r="G102" s="1">
        <v>366.79999999999995</v>
      </c>
      <c r="H102" s="1">
        <v>358</v>
      </c>
      <c r="I102" s="1">
        <v>945.40000000000009</v>
      </c>
      <c r="J102" s="1">
        <v>124.2</v>
      </c>
    </row>
    <row r="103" spans="1:10" x14ac:dyDescent="0.25">
      <c r="A103" s="1" t="s">
        <v>34</v>
      </c>
      <c r="B103" t="s">
        <v>116</v>
      </c>
      <c r="C103" s="1">
        <v>2015</v>
      </c>
      <c r="D103" s="1" t="s">
        <v>43</v>
      </c>
      <c r="E103" s="1">
        <v>1678.9999999999998</v>
      </c>
      <c r="F103" s="1">
        <v>132.5</v>
      </c>
      <c r="G103" s="1">
        <v>380.1</v>
      </c>
      <c r="H103" s="1">
        <v>366.2</v>
      </c>
      <c r="I103" s="1">
        <v>954.5</v>
      </c>
      <c r="J103" s="1">
        <v>126.1</v>
      </c>
    </row>
    <row r="104" spans="1:10" x14ac:dyDescent="0.25">
      <c r="A104" s="1" t="s">
        <v>30</v>
      </c>
      <c r="B104" t="s">
        <v>117</v>
      </c>
      <c r="C104" s="1">
        <v>2015</v>
      </c>
      <c r="D104" s="1" t="s">
        <v>44</v>
      </c>
      <c r="E104" s="1">
        <v>1686.3</v>
      </c>
      <c r="F104" s="1">
        <v>132.19999999999999</v>
      </c>
      <c r="G104" s="1">
        <v>391.79999999999995</v>
      </c>
      <c r="H104" s="1">
        <v>374.1</v>
      </c>
      <c r="I104" s="1">
        <v>965.5</v>
      </c>
      <c r="J104" s="1">
        <v>128.30000000000001</v>
      </c>
    </row>
    <row r="105" spans="1:10" x14ac:dyDescent="0.25">
      <c r="A105" s="1" t="s">
        <v>33</v>
      </c>
      <c r="B105" t="s">
        <v>117</v>
      </c>
      <c r="C105" s="1">
        <v>2015</v>
      </c>
      <c r="D105" s="1" t="s">
        <v>44</v>
      </c>
      <c r="E105" s="1">
        <v>1708.4999999999998</v>
      </c>
      <c r="F105" s="1">
        <v>137.6</v>
      </c>
      <c r="G105" s="1">
        <v>368.5</v>
      </c>
      <c r="H105" s="1">
        <v>359</v>
      </c>
      <c r="I105" s="1">
        <v>946.5</v>
      </c>
      <c r="J105" s="1">
        <v>124.6</v>
      </c>
    </row>
    <row r="106" spans="1:10" x14ac:dyDescent="0.25">
      <c r="A106" s="1" t="s">
        <v>34</v>
      </c>
      <c r="B106" t="s">
        <v>117</v>
      </c>
      <c r="C106" s="1">
        <v>2015</v>
      </c>
      <c r="D106" s="1" t="s">
        <v>44</v>
      </c>
      <c r="E106" s="1">
        <v>1692.1</v>
      </c>
      <c r="F106" s="1">
        <v>133.6</v>
      </c>
      <c r="G106" s="1">
        <v>382.4</v>
      </c>
      <c r="H106" s="1">
        <v>367.9</v>
      </c>
      <c r="I106" s="1">
        <v>957</v>
      </c>
      <c r="J106" s="1">
        <v>126.6</v>
      </c>
    </row>
    <row r="107" spans="1:10" x14ac:dyDescent="0.25">
      <c r="A107" s="1" t="s">
        <v>30</v>
      </c>
      <c r="B107" t="s">
        <v>118</v>
      </c>
      <c r="C107" s="1">
        <v>2015</v>
      </c>
      <c r="D107" s="1" t="s">
        <v>45</v>
      </c>
      <c r="E107" s="1">
        <v>1682.3000000000002</v>
      </c>
      <c r="F107" s="1">
        <v>133.1</v>
      </c>
      <c r="G107" s="1">
        <v>392.9</v>
      </c>
      <c r="H107" s="1">
        <v>374.1</v>
      </c>
      <c r="I107" s="1">
        <v>966.89999999999986</v>
      </c>
      <c r="J107" s="1">
        <v>127.9</v>
      </c>
    </row>
    <row r="108" spans="1:10" x14ac:dyDescent="0.25">
      <c r="A108" s="1" t="s">
        <v>33</v>
      </c>
      <c r="B108" t="s">
        <v>118</v>
      </c>
      <c r="C108" s="1">
        <v>2015</v>
      </c>
      <c r="D108" s="1" t="s">
        <v>45</v>
      </c>
      <c r="E108" s="1">
        <v>1698.8</v>
      </c>
      <c r="F108" s="1">
        <v>138.19999999999999</v>
      </c>
      <c r="G108" s="1">
        <v>369.4</v>
      </c>
      <c r="H108" s="1">
        <v>359.4</v>
      </c>
      <c r="I108" s="1">
        <v>947.7</v>
      </c>
      <c r="J108" s="1">
        <v>124</v>
      </c>
    </row>
    <row r="109" spans="1:10" x14ac:dyDescent="0.25">
      <c r="A109" s="1" t="s">
        <v>34</v>
      </c>
      <c r="B109" t="s">
        <v>118</v>
      </c>
      <c r="C109" s="1">
        <v>2015</v>
      </c>
      <c r="D109" s="1" t="s">
        <v>45</v>
      </c>
      <c r="E109" s="1">
        <v>1686.1000000000001</v>
      </c>
      <c r="F109" s="1">
        <v>134.5</v>
      </c>
      <c r="G109" s="1">
        <v>383.5</v>
      </c>
      <c r="H109" s="1">
        <v>368</v>
      </c>
      <c r="I109" s="1">
        <v>958.30000000000007</v>
      </c>
      <c r="J109" s="1">
        <v>126.1</v>
      </c>
    </row>
    <row r="110" spans="1:10" x14ac:dyDescent="0.25">
      <c r="A110" s="1" t="s">
        <v>30</v>
      </c>
      <c r="B110" t="s">
        <v>119</v>
      </c>
      <c r="C110" s="1">
        <v>2016</v>
      </c>
      <c r="D110" s="1" t="s">
        <v>31</v>
      </c>
      <c r="E110" s="1">
        <v>1690.1000000000001</v>
      </c>
      <c r="F110" s="1">
        <v>133.6</v>
      </c>
      <c r="G110" s="1">
        <v>394.70000000000005</v>
      </c>
      <c r="H110" s="1">
        <v>376.20000000000005</v>
      </c>
      <c r="I110" s="1">
        <v>969.8</v>
      </c>
      <c r="J110" s="1">
        <v>128.1</v>
      </c>
    </row>
    <row r="111" spans="1:10" x14ac:dyDescent="0.25">
      <c r="A111" s="1" t="s">
        <v>33</v>
      </c>
      <c r="B111" t="s">
        <v>119</v>
      </c>
      <c r="C111" s="1">
        <v>2016</v>
      </c>
      <c r="D111" s="1" t="s">
        <v>31</v>
      </c>
      <c r="E111" s="1">
        <v>1701.4</v>
      </c>
      <c r="F111" s="1">
        <v>139.5</v>
      </c>
      <c r="G111" s="1">
        <v>370.5</v>
      </c>
      <c r="H111" s="1">
        <v>361.9</v>
      </c>
      <c r="I111" s="1">
        <v>949.19999999999993</v>
      </c>
      <c r="J111" s="1">
        <v>124.2</v>
      </c>
    </row>
    <row r="112" spans="1:10" x14ac:dyDescent="0.25">
      <c r="A112" s="1" t="s">
        <v>34</v>
      </c>
      <c r="B112" t="s">
        <v>119</v>
      </c>
      <c r="C112" s="1">
        <v>2016</v>
      </c>
      <c r="D112" s="1" t="s">
        <v>31</v>
      </c>
      <c r="E112" s="1">
        <v>1691.7</v>
      </c>
      <c r="F112" s="1">
        <v>135.19999999999999</v>
      </c>
      <c r="G112" s="1">
        <v>384.9</v>
      </c>
      <c r="H112" s="1">
        <v>370.3</v>
      </c>
      <c r="I112" s="1">
        <v>960.5</v>
      </c>
      <c r="J112" s="1">
        <v>126.3</v>
      </c>
    </row>
    <row r="113" spans="1:10" x14ac:dyDescent="0.25">
      <c r="A113" s="1" t="s">
        <v>30</v>
      </c>
      <c r="B113" t="s">
        <v>120</v>
      </c>
      <c r="C113" s="1">
        <v>2016</v>
      </c>
      <c r="D113" s="1" t="s">
        <v>35</v>
      </c>
      <c r="E113" s="1">
        <v>1682.6</v>
      </c>
      <c r="F113" s="1">
        <v>134.4</v>
      </c>
      <c r="G113" s="1">
        <v>397.09999999999997</v>
      </c>
      <c r="H113" s="1">
        <v>379</v>
      </c>
      <c r="I113" s="1">
        <v>976.69999999999993</v>
      </c>
      <c r="J113" s="1">
        <v>127.9</v>
      </c>
    </row>
    <row r="114" spans="1:10" x14ac:dyDescent="0.25">
      <c r="A114" s="1" t="s">
        <v>33</v>
      </c>
      <c r="B114" t="s">
        <v>120</v>
      </c>
      <c r="C114" s="1">
        <v>2016</v>
      </c>
      <c r="D114" s="1" t="s">
        <v>35</v>
      </c>
      <c r="E114" s="1">
        <v>1676.1</v>
      </c>
      <c r="F114" s="1">
        <v>140</v>
      </c>
      <c r="G114" s="1">
        <v>371.6</v>
      </c>
      <c r="H114" s="1">
        <v>362.2</v>
      </c>
      <c r="I114" s="1">
        <v>952.90000000000009</v>
      </c>
      <c r="J114" s="1">
        <v>123.8</v>
      </c>
    </row>
    <row r="115" spans="1:10" x14ac:dyDescent="0.25">
      <c r="A115" s="1" t="s">
        <v>34</v>
      </c>
      <c r="B115" t="s">
        <v>120</v>
      </c>
      <c r="C115" s="1">
        <v>2016</v>
      </c>
      <c r="D115" s="1" t="s">
        <v>35</v>
      </c>
      <c r="E115" s="1">
        <v>1678.1</v>
      </c>
      <c r="F115" s="1">
        <v>135.9</v>
      </c>
      <c r="G115" s="1">
        <v>386.9</v>
      </c>
      <c r="H115" s="1">
        <v>372.1</v>
      </c>
      <c r="I115" s="1">
        <v>965.6</v>
      </c>
      <c r="J115" s="1">
        <v>126</v>
      </c>
    </row>
    <row r="116" spans="1:10" x14ac:dyDescent="0.25">
      <c r="A116" s="1" t="s">
        <v>30</v>
      </c>
      <c r="B116" t="s">
        <v>121</v>
      </c>
      <c r="C116" s="1">
        <v>2016</v>
      </c>
      <c r="D116" s="1" t="s">
        <v>36</v>
      </c>
      <c r="E116" s="1">
        <v>1682.7000000000003</v>
      </c>
      <c r="F116" s="1">
        <v>135</v>
      </c>
      <c r="G116" s="1">
        <v>398.40000000000009</v>
      </c>
      <c r="H116" s="1">
        <v>379.6</v>
      </c>
      <c r="I116" s="1">
        <v>979.2</v>
      </c>
      <c r="J116" s="1">
        <v>128</v>
      </c>
    </row>
    <row r="117" spans="1:10" x14ac:dyDescent="0.25">
      <c r="A117" s="1" t="s">
        <v>33</v>
      </c>
      <c r="B117" t="s">
        <v>121</v>
      </c>
      <c r="C117" s="1">
        <v>2016</v>
      </c>
      <c r="D117" s="1" t="s">
        <v>36</v>
      </c>
      <c r="E117" s="1">
        <v>1667.6000000000001</v>
      </c>
      <c r="F117" s="1">
        <v>140.6</v>
      </c>
      <c r="G117" s="1">
        <v>372.19999999999993</v>
      </c>
      <c r="H117" s="1">
        <v>362</v>
      </c>
      <c r="I117" s="1">
        <v>954.2</v>
      </c>
      <c r="J117" s="1">
        <v>123.8</v>
      </c>
    </row>
    <row r="118" spans="1:10" x14ac:dyDescent="0.25">
      <c r="A118" s="1" t="s">
        <v>34</v>
      </c>
      <c r="B118" t="s">
        <v>121</v>
      </c>
      <c r="C118" s="1">
        <v>2016</v>
      </c>
      <c r="D118" s="1" t="s">
        <v>36</v>
      </c>
      <c r="E118" s="1">
        <v>1675.2</v>
      </c>
      <c r="F118" s="1">
        <v>136.5</v>
      </c>
      <c r="G118" s="1">
        <v>387.9</v>
      </c>
      <c r="H118" s="1">
        <v>372.4</v>
      </c>
      <c r="I118" s="1">
        <v>967.7</v>
      </c>
      <c r="J118" s="1">
        <v>126</v>
      </c>
    </row>
    <row r="119" spans="1:10" x14ac:dyDescent="0.25">
      <c r="A119" s="1" t="s">
        <v>30</v>
      </c>
      <c r="B119" t="s">
        <v>122</v>
      </c>
      <c r="C119" s="1">
        <v>2016</v>
      </c>
      <c r="D119" s="1" t="s">
        <v>37</v>
      </c>
      <c r="E119" s="1">
        <v>1701.6000000000004</v>
      </c>
      <c r="F119" s="1">
        <v>135.5</v>
      </c>
      <c r="G119" s="1">
        <v>400</v>
      </c>
      <c r="H119" s="1">
        <v>380.6</v>
      </c>
      <c r="I119" s="1">
        <v>983.9</v>
      </c>
      <c r="J119" s="1">
        <v>129</v>
      </c>
    </row>
    <row r="120" spans="1:10" x14ac:dyDescent="0.25">
      <c r="A120" s="1" t="s">
        <v>33</v>
      </c>
      <c r="B120" t="s">
        <v>122</v>
      </c>
      <c r="C120" s="1">
        <v>2016</v>
      </c>
      <c r="D120" s="1" t="s">
        <v>37</v>
      </c>
      <c r="E120" s="1">
        <v>1706.3</v>
      </c>
      <c r="F120" s="1">
        <v>141.5</v>
      </c>
      <c r="G120" s="1">
        <v>373.1</v>
      </c>
      <c r="H120" s="1">
        <v>363</v>
      </c>
      <c r="I120" s="1">
        <v>960.50000000000011</v>
      </c>
      <c r="J120" s="1">
        <v>125.3</v>
      </c>
    </row>
    <row r="121" spans="1:10" x14ac:dyDescent="0.25">
      <c r="A121" s="1" t="s">
        <v>34</v>
      </c>
      <c r="B121" t="s">
        <v>122</v>
      </c>
      <c r="C121" s="1">
        <v>2016</v>
      </c>
      <c r="D121" s="1" t="s">
        <v>37</v>
      </c>
      <c r="E121" s="1">
        <v>1701.3</v>
      </c>
      <c r="F121" s="1">
        <v>137.1</v>
      </c>
      <c r="G121" s="1">
        <v>389.20000000000005</v>
      </c>
      <c r="H121" s="1">
        <v>373.4</v>
      </c>
      <c r="I121" s="1">
        <v>973.1</v>
      </c>
      <c r="J121" s="1">
        <v>127.3</v>
      </c>
    </row>
    <row r="122" spans="1:10" x14ac:dyDescent="0.25">
      <c r="A122" s="1" t="s">
        <v>30</v>
      </c>
      <c r="B122" t="s">
        <v>123</v>
      </c>
      <c r="C122" s="1">
        <v>2016</v>
      </c>
      <c r="D122" s="1" t="s">
        <v>38</v>
      </c>
      <c r="E122" s="1">
        <v>1723.6999999999998</v>
      </c>
      <c r="F122" s="1">
        <v>136</v>
      </c>
      <c r="G122" s="1">
        <v>401.3</v>
      </c>
      <c r="H122" s="1">
        <v>381.9</v>
      </c>
      <c r="I122" s="1">
        <v>990.7</v>
      </c>
      <c r="J122" s="1">
        <v>130.30000000000001</v>
      </c>
    </row>
    <row r="123" spans="1:10" x14ac:dyDescent="0.25">
      <c r="A123" s="1" t="s">
        <v>33</v>
      </c>
      <c r="B123" t="s">
        <v>123</v>
      </c>
      <c r="C123" s="1">
        <v>2016</v>
      </c>
      <c r="D123" s="1" t="s">
        <v>38</v>
      </c>
      <c r="E123" s="1">
        <v>1746.7999999999997</v>
      </c>
      <c r="F123" s="1">
        <v>142.19999999999999</v>
      </c>
      <c r="G123" s="1">
        <v>374.1</v>
      </c>
      <c r="H123" s="1">
        <v>364.2</v>
      </c>
      <c r="I123" s="1">
        <v>964.3</v>
      </c>
      <c r="J123" s="1">
        <v>126.6</v>
      </c>
    </row>
    <row r="124" spans="1:10" x14ac:dyDescent="0.25">
      <c r="A124" s="1" t="s">
        <v>34</v>
      </c>
      <c r="B124" t="s">
        <v>123</v>
      </c>
      <c r="C124" s="1">
        <v>2016</v>
      </c>
      <c r="D124" s="1" t="s">
        <v>38</v>
      </c>
      <c r="E124" s="1">
        <v>1730.4</v>
      </c>
      <c r="F124" s="1">
        <v>137.69999999999999</v>
      </c>
      <c r="G124" s="1">
        <v>390.4</v>
      </c>
      <c r="H124" s="1">
        <v>374.7</v>
      </c>
      <c r="I124" s="1">
        <v>978.60000000000014</v>
      </c>
      <c r="J124" s="1">
        <v>128.6</v>
      </c>
    </row>
    <row r="125" spans="1:10" x14ac:dyDescent="0.25">
      <c r="A125" s="1" t="s">
        <v>30</v>
      </c>
      <c r="B125" t="s">
        <v>124</v>
      </c>
      <c r="C125" s="1">
        <v>2016</v>
      </c>
      <c r="D125" s="1" t="s">
        <v>39</v>
      </c>
      <c r="E125" s="1">
        <v>1748.6</v>
      </c>
      <c r="F125" s="1">
        <v>137.19999999999999</v>
      </c>
      <c r="G125" s="1">
        <v>403.5</v>
      </c>
      <c r="H125" s="1">
        <v>382.8</v>
      </c>
      <c r="I125" s="1">
        <v>996.39999999999986</v>
      </c>
      <c r="J125" s="1">
        <v>131.9</v>
      </c>
    </row>
    <row r="126" spans="1:10" x14ac:dyDescent="0.25">
      <c r="A126" s="1" t="s">
        <v>33</v>
      </c>
      <c r="B126" t="s">
        <v>124</v>
      </c>
      <c r="C126" s="1">
        <v>2016</v>
      </c>
      <c r="D126" s="1" t="s">
        <v>39</v>
      </c>
      <c r="E126" s="1">
        <v>1787.0000000000002</v>
      </c>
      <c r="F126" s="1">
        <v>142.69999999999999</v>
      </c>
      <c r="G126" s="1">
        <v>375.29999999999995</v>
      </c>
      <c r="H126" s="1">
        <v>364.2</v>
      </c>
      <c r="I126" s="1">
        <v>970.4</v>
      </c>
      <c r="J126" s="1">
        <v>128.1</v>
      </c>
    </row>
    <row r="127" spans="1:10" x14ac:dyDescent="0.25">
      <c r="A127" s="1" t="s">
        <v>34</v>
      </c>
      <c r="B127" t="s">
        <v>124</v>
      </c>
      <c r="C127" s="1">
        <v>2016</v>
      </c>
      <c r="D127" s="1" t="s">
        <v>39</v>
      </c>
      <c r="E127" s="1">
        <v>1760.6</v>
      </c>
      <c r="F127" s="1">
        <v>138.69999999999999</v>
      </c>
      <c r="G127" s="1">
        <v>392.1</v>
      </c>
      <c r="H127" s="1">
        <v>375.20000000000005</v>
      </c>
      <c r="I127" s="1">
        <v>984.4</v>
      </c>
      <c r="J127" s="1">
        <v>130.1</v>
      </c>
    </row>
    <row r="128" spans="1:10" x14ac:dyDescent="0.25">
      <c r="A128" s="1" t="s">
        <v>30</v>
      </c>
      <c r="B128" t="s">
        <v>125</v>
      </c>
      <c r="C128" s="1">
        <v>2016</v>
      </c>
      <c r="D128" s="1" t="s">
        <v>40</v>
      </c>
      <c r="E128" s="1">
        <v>1770.2999999999997</v>
      </c>
      <c r="F128" s="1">
        <v>138</v>
      </c>
      <c r="G128" s="1">
        <v>405.9</v>
      </c>
      <c r="H128" s="1">
        <v>384.6</v>
      </c>
      <c r="I128" s="1">
        <v>1001.3</v>
      </c>
      <c r="J128" s="1">
        <v>133</v>
      </c>
    </row>
    <row r="129" spans="1:10" x14ac:dyDescent="0.25">
      <c r="A129" s="1" t="s">
        <v>33</v>
      </c>
      <c r="B129" t="s">
        <v>125</v>
      </c>
      <c r="C129" s="1">
        <v>2016</v>
      </c>
      <c r="D129" s="1" t="s">
        <v>40</v>
      </c>
      <c r="E129" s="1">
        <v>1811.5000000000002</v>
      </c>
      <c r="F129" s="1">
        <v>142.9</v>
      </c>
      <c r="G129" s="1">
        <v>375.9</v>
      </c>
      <c r="H129" s="1">
        <v>365.4</v>
      </c>
      <c r="I129" s="1">
        <v>975.30000000000007</v>
      </c>
      <c r="J129" s="1">
        <v>129</v>
      </c>
    </row>
    <row r="130" spans="1:10" x14ac:dyDescent="0.25">
      <c r="A130" s="1" t="s">
        <v>34</v>
      </c>
      <c r="B130" t="s">
        <v>125</v>
      </c>
      <c r="C130" s="1">
        <v>2016</v>
      </c>
      <c r="D130" s="1" t="s">
        <v>40</v>
      </c>
      <c r="E130" s="1">
        <v>1783.5</v>
      </c>
      <c r="F130" s="1">
        <v>139.30000000000001</v>
      </c>
      <c r="G130" s="1">
        <v>393.79999999999995</v>
      </c>
      <c r="H130" s="1">
        <v>376.70000000000005</v>
      </c>
      <c r="I130" s="1">
        <v>989.3</v>
      </c>
      <c r="J130" s="1">
        <v>131.1</v>
      </c>
    </row>
    <row r="131" spans="1:10" x14ac:dyDescent="0.25">
      <c r="A131" s="1" t="s">
        <v>30</v>
      </c>
      <c r="B131" t="s">
        <v>126</v>
      </c>
      <c r="C131" s="1">
        <v>2016</v>
      </c>
      <c r="D131" s="1" t="s">
        <v>41</v>
      </c>
      <c r="E131" s="1">
        <v>1777.4999999999998</v>
      </c>
      <c r="F131" s="1">
        <v>138.9</v>
      </c>
      <c r="G131" s="1">
        <v>407.9</v>
      </c>
      <c r="H131" s="1">
        <v>387</v>
      </c>
      <c r="I131" s="1">
        <v>1005.5</v>
      </c>
      <c r="J131" s="1">
        <v>133.5</v>
      </c>
    </row>
    <row r="132" spans="1:10" x14ac:dyDescent="0.25">
      <c r="A132" s="1" t="s">
        <v>33</v>
      </c>
      <c r="B132" t="s">
        <v>126</v>
      </c>
      <c r="C132" s="1">
        <v>2016</v>
      </c>
      <c r="D132" s="1" t="s">
        <v>41</v>
      </c>
      <c r="E132" s="1">
        <v>1783.9999999999995</v>
      </c>
      <c r="F132" s="1">
        <v>143.6</v>
      </c>
      <c r="G132" s="1">
        <v>377</v>
      </c>
      <c r="H132" s="1">
        <v>365.9</v>
      </c>
      <c r="I132" s="1">
        <v>977.2</v>
      </c>
      <c r="J132" s="1">
        <v>128.4</v>
      </c>
    </row>
    <row r="133" spans="1:10" x14ac:dyDescent="0.25">
      <c r="A133" s="1" t="s">
        <v>34</v>
      </c>
      <c r="B133" t="s">
        <v>126</v>
      </c>
      <c r="C133" s="1">
        <v>2016</v>
      </c>
      <c r="D133" s="1" t="s">
        <v>41</v>
      </c>
      <c r="E133" s="1">
        <v>1777.9</v>
      </c>
      <c r="F133" s="1">
        <v>140.19999999999999</v>
      </c>
      <c r="G133" s="1">
        <v>395.5</v>
      </c>
      <c r="H133" s="1">
        <v>378.29999999999995</v>
      </c>
      <c r="I133" s="1">
        <v>992.4</v>
      </c>
      <c r="J133" s="1">
        <v>131.1</v>
      </c>
    </row>
    <row r="134" spans="1:10" x14ac:dyDescent="0.25">
      <c r="A134" s="1" t="s">
        <v>30</v>
      </c>
      <c r="B134" t="s">
        <v>127</v>
      </c>
      <c r="C134" s="1">
        <v>2016</v>
      </c>
      <c r="D134" s="1" t="s">
        <v>42</v>
      </c>
      <c r="E134" s="1">
        <v>1770.7</v>
      </c>
      <c r="F134" s="1">
        <v>139.9</v>
      </c>
      <c r="G134" s="1">
        <v>409.8</v>
      </c>
      <c r="H134" s="1">
        <v>388.70000000000005</v>
      </c>
      <c r="I134" s="1">
        <v>1010.4</v>
      </c>
      <c r="J134" s="1">
        <v>133.4</v>
      </c>
    </row>
    <row r="135" spans="1:10" x14ac:dyDescent="0.25">
      <c r="A135" s="1" t="s">
        <v>33</v>
      </c>
      <c r="B135" t="s">
        <v>127</v>
      </c>
      <c r="C135" s="1">
        <v>2016</v>
      </c>
      <c r="D135" s="1" t="s">
        <v>42</v>
      </c>
      <c r="E135" s="1">
        <v>1756.3999999999996</v>
      </c>
      <c r="F135" s="1">
        <v>143.9</v>
      </c>
      <c r="G135" s="1">
        <v>378</v>
      </c>
      <c r="H135" s="1">
        <v>367</v>
      </c>
      <c r="I135" s="1">
        <v>980.30000000000007</v>
      </c>
      <c r="J135" s="1">
        <v>128</v>
      </c>
    </row>
    <row r="136" spans="1:10" x14ac:dyDescent="0.25">
      <c r="A136" s="1" t="s">
        <v>34</v>
      </c>
      <c r="B136" t="s">
        <v>127</v>
      </c>
      <c r="C136" s="1">
        <v>2016</v>
      </c>
      <c r="D136" s="1" t="s">
        <v>42</v>
      </c>
      <c r="E136" s="1">
        <v>1763.6999999999998</v>
      </c>
      <c r="F136" s="1">
        <v>141</v>
      </c>
      <c r="G136" s="1">
        <v>397</v>
      </c>
      <c r="H136" s="1">
        <v>379.9</v>
      </c>
      <c r="I136" s="1">
        <v>996.50000000000011</v>
      </c>
      <c r="J136" s="1">
        <v>130.9</v>
      </c>
    </row>
    <row r="137" spans="1:10" x14ac:dyDescent="0.25">
      <c r="A137" s="1" t="s">
        <v>30</v>
      </c>
      <c r="B137" t="s">
        <v>128</v>
      </c>
      <c r="C137" s="1">
        <v>2016</v>
      </c>
      <c r="D137" s="1" t="s">
        <v>43</v>
      </c>
      <c r="E137" s="1">
        <v>1771.8000000000002</v>
      </c>
      <c r="F137" s="1">
        <v>140.9</v>
      </c>
      <c r="G137" s="1">
        <v>412.70000000000005</v>
      </c>
      <c r="H137" s="1">
        <v>390.3</v>
      </c>
      <c r="I137" s="1">
        <v>1016.4000000000001</v>
      </c>
      <c r="J137" s="1">
        <v>133.80000000000001</v>
      </c>
    </row>
    <row r="138" spans="1:10" x14ac:dyDescent="0.25">
      <c r="A138" s="1" t="s">
        <v>33</v>
      </c>
      <c r="B138" t="s">
        <v>128</v>
      </c>
      <c r="C138" s="1">
        <v>2016</v>
      </c>
      <c r="D138" s="1" t="s">
        <v>43</v>
      </c>
      <c r="E138" s="1">
        <v>1762.8999999999999</v>
      </c>
      <c r="F138" s="1">
        <v>144.30000000000001</v>
      </c>
      <c r="G138" s="1">
        <v>379</v>
      </c>
      <c r="H138" s="1">
        <v>368.4</v>
      </c>
      <c r="I138" s="1">
        <v>983.09999999999991</v>
      </c>
      <c r="J138" s="1">
        <v>128.6</v>
      </c>
    </row>
    <row r="139" spans="1:10" x14ac:dyDescent="0.25">
      <c r="A139" s="1" t="s">
        <v>34</v>
      </c>
      <c r="B139" t="s">
        <v>128</v>
      </c>
      <c r="C139" s="1">
        <v>2016</v>
      </c>
      <c r="D139" s="1" t="s">
        <v>43</v>
      </c>
      <c r="E139" s="1">
        <v>1766.7999999999995</v>
      </c>
      <c r="F139" s="1">
        <v>141.80000000000001</v>
      </c>
      <c r="G139" s="1">
        <v>399.1</v>
      </c>
      <c r="H139" s="1">
        <v>381.4</v>
      </c>
      <c r="I139" s="1">
        <v>1001.2</v>
      </c>
      <c r="J139" s="1">
        <v>131.4</v>
      </c>
    </row>
    <row r="140" spans="1:10" x14ac:dyDescent="0.25">
      <c r="A140" s="1" t="s">
        <v>30</v>
      </c>
      <c r="B140" t="s">
        <v>129</v>
      </c>
      <c r="C140" s="1">
        <v>2016</v>
      </c>
      <c r="D140" s="1" t="s">
        <v>44</v>
      </c>
      <c r="E140" s="1">
        <v>1764.6</v>
      </c>
      <c r="F140" s="1">
        <v>141.19999999999999</v>
      </c>
      <c r="G140" s="1">
        <v>413.59999999999991</v>
      </c>
      <c r="H140" s="1">
        <v>391.5</v>
      </c>
      <c r="I140" s="1">
        <v>1020.3</v>
      </c>
      <c r="J140" s="1">
        <v>133.6</v>
      </c>
    </row>
    <row r="141" spans="1:10" x14ac:dyDescent="0.25">
      <c r="A141" s="1" t="s">
        <v>33</v>
      </c>
      <c r="B141" t="s">
        <v>129</v>
      </c>
      <c r="C141" s="1">
        <v>2016</v>
      </c>
      <c r="D141" s="1" t="s">
        <v>44</v>
      </c>
      <c r="E141" s="1">
        <v>1755.2</v>
      </c>
      <c r="F141" s="1">
        <v>144.30000000000001</v>
      </c>
      <c r="G141" s="1">
        <v>380.2</v>
      </c>
      <c r="H141" s="1">
        <v>370</v>
      </c>
      <c r="I141" s="1">
        <v>986.09999999999991</v>
      </c>
      <c r="J141" s="1">
        <v>128.5</v>
      </c>
    </row>
    <row r="142" spans="1:10" x14ac:dyDescent="0.25">
      <c r="A142" s="1" t="s">
        <v>34</v>
      </c>
      <c r="B142" t="s">
        <v>129</v>
      </c>
      <c r="C142" s="1">
        <v>2016</v>
      </c>
      <c r="D142" s="1" t="s">
        <v>44</v>
      </c>
      <c r="E142" s="1">
        <v>1759.8</v>
      </c>
      <c r="F142" s="1">
        <v>142</v>
      </c>
      <c r="G142" s="1">
        <v>400.1</v>
      </c>
      <c r="H142" s="1">
        <v>382.7</v>
      </c>
      <c r="I142" s="1">
        <v>1004.5000000000001</v>
      </c>
      <c r="J142" s="1">
        <v>131.19999999999999</v>
      </c>
    </row>
    <row r="143" spans="1:10" x14ac:dyDescent="0.25">
      <c r="A143" s="1" t="s">
        <v>30</v>
      </c>
      <c r="B143" t="s">
        <v>130</v>
      </c>
      <c r="C143" s="1">
        <v>2016</v>
      </c>
      <c r="D143" s="1" t="s">
        <v>45</v>
      </c>
      <c r="E143" s="1">
        <v>1749.1</v>
      </c>
      <c r="F143" s="1">
        <v>142.4</v>
      </c>
      <c r="G143" s="1">
        <v>415.30000000000007</v>
      </c>
      <c r="H143" s="1">
        <v>393.4</v>
      </c>
      <c r="I143" s="1">
        <v>1021.9</v>
      </c>
      <c r="J143" s="1">
        <v>132.80000000000001</v>
      </c>
    </row>
    <row r="144" spans="1:10" x14ac:dyDescent="0.25">
      <c r="A144" s="1" t="s">
        <v>33</v>
      </c>
      <c r="B144" t="s">
        <v>130</v>
      </c>
      <c r="C144" s="1">
        <v>2016</v>
      </c>
      <c r="D144" s="1" t="s">
        <v>45</v>
      </c>
      <c r="E144" s="1">
        <v>1729.8</v>
      </c>
      <c r="F144" s="1">
        <v>145</v>
      </c>
      <c r="G144" s="1">
        <v>381</v>
      </c>
      <c r="H144" s="1">
        <v>371.3</v>
      </c>
      <c r="I144" s="1">
        <v>986</v>
      </c>
      <c r="J144" s="1">
        <v>127.6</v>
      </c>
    </row>
    <row r="145" spans="1:10" x14ac:dyDescent="0.25">
      <c r="A145" s="1" t="s">
        <v>34</v>
      </c>
      <c r="B145" t="s">
        <v>130</v>
      </c>
      <c r="C145" s="1">
        <v>2016</v>
      </c>
      <c r="D145" s="1" t="s">
        <v>45</v>
      </c>
      <c r="E145" s="1">
        <v>1740.7</v>
      </c>
      <c r="F145" s="1">
        <v>143.1</v>
      </c>
      <c r="G145" s="1">
        <v>401.5</v>
      </c>
      <c r="H145" s="1">
        <v>384.29999999999995</v>
      </c>
      <c r="I145" s="1">
        <v>1005.2</v>
      </c>
      <c r="J145" s="1">
        <v>130.4</v>
      </c>
    </row>
    <row r="146" spans="1:10" x14ac:dyDescent="0.25">
      <c r="A146" s="1" t="s">
        <v>30</v>
      </c>
      <c r="B146" t="s">
        <v>131</v>
      </c>
      <c r="C146" s="1">
        <v>2017</v>
      </c>
      <c r="D146" s="1" t="s">
        <v>31</v>
      </c>
      <c r="E146" s="1">
        <v>1737.3000000000002</v>
      </c>
      <c r="F146" s="1">
        <v>143.1</v>
      </c>
      <c r="G146" s="1">
        <v>416.49999999999994</v>
      </c>
      <c r="H146" s="1">
        <v>394.9</v>
      </c>
      <c r="I146" s="1">
        <v>1024</v>
      </c>
      <c r="J146" s="1">
        <v>132.4</v>
      </c>
    </row>
    <row r="147" spans="1:10" x14ac:dyDescent="0.25">
      <c r="A147" s="1" t="s">
        <v>33</v>
      </c>
      <c r="B147" t="s">
        <v>131</v>
      </c>
      <c r="C147" s="1">
        <v>2017</v>
      </c>
      <c r="D147" s="1" t="s">
        <v>31</v>
      </c>
      <c r="E147" s="1">
        <v>1713.2</v>
      </c>
      <c r="F147" s="1">
        <v>145.6</v>
      </c>
      <c r="G147" s="1">
        <v>381.5</v>
      </c>
      <c r="H147" s="1">
        <v>372.7</v>
      </c>
      <c r="I147" s="1">
        <v>990.19999999999993</v>
      </c>
      <c r="J147" s="1">
        <v>127.8</v>
      </c>
    </row>
    <row r="148" spans="1:10" x14ac:dyDescent="0.25">
      <c r="A148" s="1" t="s">
        <v>34</v>
      </c>
      <c r="B148" t="s">
        <v>131</v>
      </c>
      <c r="C148" s="1">
        <v>2017</v>
      </c>
      <c r="D148" s="1" t="s">
        <v>31</v>
      </c>
      <c r="E148" s="1">
        <v>1727.2999999999995</v>
      </c>
      <c r="F148" s="1">
        <v>143.80000000000001</v>
      </c>
      <c r="G148" s="1">
        <v>402.40000000000003</v>
      </c>
      <c r="H148" s="1">
        <v>385.79999999999995</v>
      </c>
      <c r="I148" s="1">
        <v>1008.1</v>
      </c>
      <c r="J148" s="1">
        <v>130.30000000000001</v>
      </c>
    </row>
    <row r="149" spans="1:10" x14ac:dyDescent="0.25">
      <c r="A149" s="1" t="s">
        <v>30</v>
      </c>
      <c r="B149" t="s">
        <v>132</v>
      </c>
      <c r="C149" s="1">
        <v>2017</v>
      </c>
      <c r="D149" s="1" t="s">
        <v>35</v>
      </c>
      <c r="E149" s="1">
        <v>1734.5000000000002</v>
      </c>
      <c r="F149" s="1">
        <v>143.69999999999999</v>
      </c>
      <c r="G149" s="1">
        <v>416.90000000000003</v>
      </c>
      <c r="H149" s="1">
        <v>397.29999999999995</v>
      </c>
      <c r="I149" s="1">
        <v>1027.4000000000001</v>
      </c>
      <c r="J149" s="1">
        <v>132.6</v>
      </c>
    </row>
    <row r="150" spans="1:10" x14ac:dyDescent="0.25">
      <c r="A150" s="1" t="s">
        <v>33</v>
      </c>
      <c r="B150" t="s">
        <v>132</v>
      </c>
      <c r="C150" s="1">
        <v>2017</v>
      </c>
      <c r="D150" s="1" t="s">
        <v>35</v>
      </c>
      <c r="E150" s="1">
        <v>1705.3000000000002</v>
      </c>
      <c r="F150" s="1">
        <v>146.30000000000001</v>
      </c>
      <c r="G150" s="1">
        <v>382.3</v>
      </c>
      <c r="H150" s="1">
        <v>375</v>
      </c>
      <c r="I150" s="1">
        <v>992.40000000000009</v>
      </c>
      <c r="J150" s="1">
        <v>128.19999999999999</v>
      </c>
    </row>
    <row r="151" spans="1:10" x14ac:dyDescent="0.25">
      <c r="A151" s="1" t="s">
        <v>34</v>
      </c>
      <c r="B151" t="s">
        <v>132</v>
      </c>
      <c r="C151" s="1">
        <v>2017</v>
      </c>
      <c r="D151" s="1" t="s">
        <v>35</v>
      </c>
      <c r="E151" s="1">
        <v>1722.3000000000002</v>
      </c>
      <c r="F151" s="1">
        <v>144.4</v>
      </c>
      <c r="G151" s="1">
        <v>403</v>
      </c>
      <c r="H151" s="1">
        <v>388.09999999999997</v>
      </c>
      <c r="I151" s="1">
        <v>1011</v>
      </c>
      <c r="J151" s="1">
        <v>130.6</v>
      </c>
    </row>
    <row r="152" spans="1:10" x14ac:dyDescent="0.25">
      <c r="A152" s="1" t="s">
        <v>30</v>
      </c>
      <c r="B152" t="s">
        <v>133</v>
      </c>
      <c r="C152" s="1">
        <v>2017</v>
      </c>
      <c r="D152" s="1" t="s">
        <v>36</v>
      </c>
      <c r="E152" s="1">
        <v>1728.5000000000002</v>
      </c>
      <c r="F152" s="1">
        <v>144.19999999999999</v>
      </c>
      <c r="G152" s="1">
        <v>418.59999999999997</v>
      </c>
      <c r="H152" s="1">
        <v>399.4</v>
      </c>
      <c r="I152" s="1">
        <v>1030.3999999999999</v>
      </c>
      <c r="J152" s="1">
        <v>132.80000000000001</v>
      </c>
    </row>
    <row r="153" spans="1:10" x14ac:dyDescent="0.25">
      <c r="A153" s="1" t="s">
        <v>33</v>
      </c>
      <c r="B153" t="s">
        <v>133</v>
      </c>
      <c r="C153" s="1">
        <v>2017</v>
      </c>
      <c r="D153" s="1" t="s">
        <v>36</v>
      </c>
      <c r="E153" s="1">
        <v>1705.6999999999998</v>
      </c>
      <c r="F153" s="1">
        <v>147.5</v>
      </c>
      <c r="G153" s="1">
        <v>383.20000000000005</v>
      </c>
      <c r="H153" s="1">
        <v>377.5</v>
      </c>
      <c r="I153" s="1">
        <v>994.1</v>
      </c>
      <c r="J153" s="1">
        <v>128.69999999999999</v>
      </c>
    </row>
    <row r="154" spans="1:10" x14ac:dyDescent="0.25">
      <c r="A154" s="1" t="s">
        <v>34</v>
      </c>
      <c r="B154" t="s">
        <v>133</v>
      </c>
      <c r="C154" s="1">
        <v>2017</v>
      </c>
      <c r="D154" s="1" t="s">
        <v>36</v>
      </c>
      <c r="E154" s="1">
        <v>1718.9</v>
      </c>
      <c r="F154" s="1">
        <v>145.1</v>
      </c>
      <c r="G154" s="1">
        <v>404.29999999999995</v>
      </c>
      <c r="H154" s="1">
        <v>390.29999999999995</v>
      </c>
      <c r="I154" s="1">
        <v>1013.5000000000001</v>
      </c>
      <c r="J154" s="1">
        <v>130.9</v>
      </c>
    </row>
    <row r="155" spans="1:10" x14ac:dyDescent="0.25">
      <c r="A155" s="1" t="s">
        <v>30</v>
      </c>
      <c r="B155" t="s">
        <v>134</v>
      </c>
      <c r="C155" s="1">
        <v>2017</v>
      </c>
      <c r="D155" s="1" t="s">
        <v>37</v>
      </c>
      <c r="E155" s="1">
        <v>1726.3</v>
      </c>
      <c r="F155" s="1">
        <v>144.4</v>
      </c>
      <c r="G155" s="1">
        <v>420.80000000000013</v>
      </c>
      <c r="H155" s="1">
        <v>401</v>
      </c>
      <c r="I155" s="1">
        <v>1032.1000000000001</v>
      </c>
      <c r="J155" s="1">
        <v>132.9</v>
      </c>
    </row>
    <row r="156" spans="1:10" x14ac:dyDescent="0.25">
      <c r="A156" s="1" t="s">
        <v>33</v>
      </c>
      <c r="B156" t="s">
        <v>134</v>
      </c>
      <c r="C156" s="1">
        <v>2017</v>
      </c>
      <c r="D156" s="1" t="s">
        <v>37</v>
      </c>
      <c r="E156" s="1">
        <v>1708.1</v>
      </c>
      <c r="F156" s="1">
        <v>148</v>
      </c>
      <c r="G156" s="1">
        <v>384.2</v>
      </c>
      <c r="H156" s="1">
        <v>379.1</v>
      </c>
      <c r="I156" s="1">
        <v>995.6</v>
      </c>
      <c r="J156" s="1">
        <v>129.1</v>
      </c>
    </row>
    <row r="157" spans="1:10" x14ac:dyDescent="0.25">
      <c r="A157" s="1" t="s">
        <v>34</v>
      </c>
      <c r="B157" t="s">
        <v>134</v>
      </c>
      <c r="C157" s="1">
        <v>2017</v>
      </c>
      <c r="D157" s="1" t="s">
        <v>37</v>
      </c>
      <c r="E157" s="1">
        <v>1718.4</v>
      </c>
      <c r="F157" s="1">
        <v>145.4</v>
      </c>
      <c r="G157" s="1">
        <v>406.1</v>
      </c>
      <c r="H157" s="1">
        <v>391.9</v>
      </c>
      <c r="I157" s="1">
        <v>1015.1000000000001</v>
      </c>
      <c r="J157" s="1">
        <v>131.1</v>
      </c>
    </row>
    <row r="158" spans="1:10" x14ac:dyDescent="0.25">
      <c r="A158" s="1" t="s">
        <v>30</v>
      </c>
      <c r="B158" t="s">
        <v>135</v>
      </c>
      <c r="C158" s="1">
        <v>2017</v>
      </c>
      <c r="D158" s="1" t="s">
        <v>38</v>
      </c>
      <c r="E158" s="1">
        <v>1727.4999999999995</v>
      </c>
      <c r="F158" s="1">
        <v>145.5</v>
      </c>
      <c r="G158" s="1">
        <v>421.60000000000008</v>
      </c>
      <c r="H158" s="1">
        <v>402</v>
      </c>
      <c r="I158" s="1">
        <v>1035.8000000000002</v>
      </c>
      <c r="J158" s="1">
        <v>133.30000000000001</v>
      </c>
    </row>
    <row r="159" spans="1:10" x14ac:dyDescent="0.25">
      <c r="A159" s="1" t="s">
        <v>33</v>
      </c>
      <c r="B159" t="s">
        <v>135</v>
      </c>
      <c r="C159" s="1">
        <v>2017</v>
      </c>
      <c r="D159" s="1" t="s">
        <v>38</v>
      </c>
      <c r="E159" s="1">
        <v>1709.6</v>
      </c>
      <c r="F159" s="1">
        <v>148.30000000000001</v>
      </c>
      <c r="G159" s="1">
        <v>384.9</v>
      </c>
      <c r="H159" s="1">
        <v>378.7</v>
      </c>
      <c r="I159" s="1">
        <v>996.5</v>
      </c>
      <c r="J159" s="1">
        <v>129.30000000000001</v>
      </c>
    </row>
    <row r="160" spans="1:10" x14ac:dyDescent="0.25">
      <c r="A160" s="1" t="s">
        <v>34</v>
      </c>
      <c r="B160" t="s">
        <v>135</v>
      </c>
      <c r="C160" s="1">
        <v>2017</v>
      </c>
      <c r="D160" s="1" t="s">
        <v>38</v>
      </c>
      <c r="E160" s="1">
        <v>1719.6000000000001</v>
      </c>
      <c r="F160" s="1">
        <v>146.19999999999999</v>
      </c>
      <c r="G160" s="1">
        <v>406.79999999999995</v>
      </c>
      <c r="H160" s="1">
        <v>392.4</v>
      </c>
      <c r="I160" s="1">
        <v>1017.1</v>
      </c>
      <c r="J160" s="1">
        <v>131.4</v>
      </c>
    </row>
    <row r="161" spans="1:10" x14ac:dyDescent="0.25">
      <c r="A161" s="1" t="s">
        <v>30</v>
      </c>
      <c r="B161" t="s">
        <v>136</v>
      </c>
      <c r="C161" s="1">
        <v>2017</v>
      </c>
      <c r="D161" s="1" t="s">
        <v>39</v>
      </c>
      <c r="E161" s="1">
        <v>1738.8000000000002</v>
      </c>
      <c r="F161" s="1">
        <v>145.80000000000001</v>
      </c>
      <c r="G161" s="1">
        <v>423.09999999999991</v>
      </c>
      <c r="H161" s="1">
        <v>401.40000000000003</v>
      </c>
      <c r="I161" s="1">
        <v>1037.8000000000002</v>
      </c>
      <c r="J161" s="1">
        <v>133.9</v>
      </c>
    </row>
    <row r="162" spans="1:10" x14ac:dyDescent="0.25">
      <c r="A162" s="1" t="s">
        <v>33</v>
      </c>
      <c r="B162" t="s">
        <v>136</v>
      </c>
      <c r="C162" s="1">
        <v>2017</v>
      </c>
      <c r="D162" s="1" t="s">
        <v>39</v>
      </c>
      <c r="E162" s="1">
        <v>1731.0000000000002</v>
      </c>
      <c r="F162" s="1">
        <v>148.6</v>
      </c>
      <c r="G162" s="1">
        <v>384.9</v>
      </c>
      <c r="H162" s="1">
        <v>377.2</v>
      </c>
      <c r="I162" s="1">
        <v>998.2</v>
      </c>
      <c r="J162" s="1">
        <v>129.9</v>
      </c>
    </row>
    <row r="163" spans="1:10" x14ac:dyDescent="0.25">
      <c r="A163" s="1" t="s">
        <v>34</v>
      </c>
      <c r="B163" t="s">
        <v>136</v>
      </c>
      <c r="C163" s="1">
        <v>2017</v>
      </c>
      <c r="D163" s="1" t="s">
        <v>39</v>
      </c>
      <c r="E163" s="1">
        <v>1734.7</v>
      </c>
      <c r="F163" s="1">
        <v>146.5</v>
      </c>
      <c r="G163" s="1">
        <v>407.70000000000005</v>
      </c>
      <c r="H163" s="1">
        <v>391.40000000000003</v>
      </c>
      <c r="I163" s="1">
        <v>1019.0999999999999</v>
      </c>
      <c r="J163" s="1">
        <v>132</v>
      </c>
    </row>
    <row r="164" spans="1:10" x14ac:dyDescent="0.25">
      <c r="A164" s="1" t="s">
        <v>30</v>
      </c>
      <c r="B164" t="s">
        <v>137</v>
      </c>
      <c r="C164" s="1">
        <v>2017</v>
      </c>
      <c r="D164" s="1" t="s">
        <v>40</v>
      </c>
      <c r="E164" s="1">
        <v>1772.9</v>
      </c>
      <c r="F164" s="1">
        <v>147.4</v>
      </c>
      <c r="G164" s="1">
        <v>425.9</v>
      </c>
      <c r="H164" s="1">
        <v>404</v>
      </c>
      <c r="I164" s="1">
        <v>1044.0999999999999</v>
      </c>
      <c r="J164" s="1">
        <v>136.19999999999999</v>
      </c>
    </row>
    <row r="165" spans="1:10" x14ac:dyDescent="0.25">
      <c r="A165" s="1" t="s">
        <v>33</v>
      </c>
      <c r="B165" t="s">
        <v>137</v>
      </c>
      <c r="C165" s="1">
        <v>2017</v>
      </c>
      <c r="D165" s="1" t="s">
        <v>40</v>
      </c>
      <c r="E165" s="1">
        <v>1768.1</v>
      </c>
      <c r="F165" s="1">
        <v>150.5</v>
      </c>
      <c r="G165" s="1">
        <v>385.70000000000005</v>
      </c>
      <c r="H165" s="1">
        <v>379.5</v>
      </c>
      <c r="I165" s="1">
        <v>1003.1</v>
      </c>
      <c r="J165" s="1">
        <v>131.80000000000001</v>
      </c>
    </row>
    <row r="166" spans="1:10" x14ac:dyDescent="0.25">
      <c r="A166" s="1" t="s">
        <v>34</v>
      </c>
      <c r="B166" t="s">
        <v>137</v>
      </c>
      <c r="C166" s="1">
        <v>2017</v>
      </c>
      <c r="D166" s="1" t="s">
        <v>40</v>
      </c>
      <c r="E166" s="1">
        <v>1769.3999999999999</v>
      </c>
      <c r="F166" s="1">
        <v>148.19999999999999</v>
      </c>
      <c r="G166" s="1">
        <v>409.69999999999993</v>
      </c>
      <c r="H166" s="1">
        <v>393.9</v>
      </c>
      <c r="I166" s="1">
        <v>1024.5</v>
      </c>
      <c r="J166" s="1">
        <v>134.19999999999999</v>
      </c>
    </row>
    <row r="167" spans="1:10" x14ac:dyDescent="0.25">
      <c r="A167" s="1" t="s">
        <v>30</v>
      </c>
      <c r="B167" t="s">
        <v>138</v>
      </c>
      <c r="C167" s="1">
        <v>2017</v>
      </c>
      <c r="D167" s="1" t="s">
        <v>41</v>
      </c>
      <c r="E167" s="1">
        <v>1792.4999999999998</v>
      </c>
      <c r="F167" s="1">
        <v>149</v>
      </c>
      <c r="G167" s="1">
        <v>429</v>
      </c>
      <c r="H167" s="1">
        <v>408.1</v>
      </c>
      <c r="I167" s="1">
        <v>1053.3</v>
      </c>
      <c r="J167" s="1">
        <v>137.80000000000001</v>
      </c>
    </row>
    <row r="168" spans="1:10" x14ac:dyDescent="0.25">
      <c r="A168" s="1" t="s">
        <v>33</v>
      </c>
      <c r="B168" t="s">
        <v>138</v>
      </c>
      <c r="C168" s="1">
        <v>2017</v>
      </c>
      <c r="D168" s="1" t="s">
        <v>41</v>
      </c>
      <c r="E168" s="1">
        <v>1772.9999999999998</v>
      </c>
      <c r="F168" s="1">
        <v>152.1</v>
      </c>
      <c r="G168" s="1">
        <v>388.4</v>
      </c>
      <c r="H168" s="1">
        <v>381</v>
      </c>
      <c r="I168" s="1">
        <v>1008.5999999999999</v>
      </c>
      <c r="J168" s="1">
        <v>132.69999999999999</v>
      </c>
    </row>
    <row r="169" spans="1:10" x14ac:dyDescent="0.25">
      <c r="A169" s="1" t="s">
        <v>34</v>
      </c>
      <c r="B169" t="s">
        <v>138</v>
      </c>
      <c r="C169" s="1">
        <v>2017</v>
      </c>
      <c r="D169" s="1" t="s">
        <v>41</v>
      </c>
      <c r="E169" s="1">
        <v>1783.8</v>
      </c>
      <c r="F169" s="1">
        <v>149.80000000000001</v>
      </c>
      <c r="G169" s="1">
        <v>412.6</v>
      </c>
      <c r="H169" s="1">
        <v>397.00000000000006</v>
      </c>
      <c r="I169" s="1">
        <v>1031.5</v>
      </c>
      <c r="J169" s="1">
        <v>135.4</v>
      </c>
    </row>
    <row r="170" spans="1:10" x14ac:dyDescent="0.25">
      <c r="A170" s="1" t="s">
        <v>30</v>
      </c>
      <c r="B170" t="s">
        <v>139</v>
      </c>
      <c r="C170" s="1">
        <v>2017</v>
      </c>
      <c r="D170" s="1" t="s">
        <v>42</v>
      </c>
      <c r="E170" s="1">
        <v>1784.3</v>
      </c>
      <c r="F170" s="1">
        <v>149.80000000000001</v>
      </c>
      <c r="G170" s="1">
        <v>430.99999999999994</v>
      </c>
      <c r="H170" s="1">
        <v>411</v>
      </c>
      <c r="I170" s="1">
        <v>1056.5</v>
      </c>
      <c r="J170" s="1">
        <v>137.6</v>
      </c>
    </row>
    <row r="171" spans="1:10" x14ac:dyDescent="0.25">
      <c r="A171" s="1" t="s">
        <v>33</v>
      </c>
      <c r="B171" t="s">
        <v>139</v>
      </c>
      <c r="C171" s="1">
        <v>2017</v>
      </c>
      <c r="D171" s="1" t="s">
        <v>42</v>
      </c>
      <c r="E171" s="1">
        <v>1749.7</v>
      </c>
      <c r="F171" s="1">
        <v>153.6</v>
      </c>
      <c r="G171" s="1">
        <v>389.9</v>
      </c>
      <c r="H171" s="1">
        <v>384.4</v>
      </c>
      <c r="I171" s="1">
        <v>1013.1</v>
      </c>
      <c r="J171" s="1">
        <v>132.4</v>
      </c>
    </row>
    <row r="172" spans="1:10" x14ac:dyDescent="0.25">
      <c r="A172" s="1" t="s">
        <v>34</v>
      </c>
      <c r="B172" t="s">
        <v>139</v>
      </c>
      <c r="C172" s="1">
        <v>2017</v>
      </c>
      <c r="D172" s="1" t="s">
        <v>42</v>
      </c>
      <c r="E172" s="1">
        <v>1769.9999999999998</v>
      </c>
      <c r="F172" s="1">
        <v>150.80000000000001</v>
      </c>
      <c r="G172" s="1">
        <v>414.50000000000006</v>
      </c>
      <c r="H172" s="1">
        <v>400</v>
      </c>
      <c r="I172" s="1">
        <v>1035.4000000000001</v>
      </c>
      <c r="J172" s="1">
        <v>135.19999999999999</v>
      </c>
    </row>
    <row r="173" spans="1:10" x14ac:dyDescent="0.25">
      <c r="A173" s="1" t="s">
        <v>30</v>
      </c>
      <c r="B173" t="s">
        <v>140</v>
      </c>
      <c r="C173" s="1">
        <v>2017</v>
      </c>
      <c r="D173" s="1" t="s">
        <v>43</v>
      </c>
      <c r="E173" s="1">
        <v>1790.8999999999999</v>
      </c>
      <c r="F173" s="1">
        <v>150.5</v>
      </c>
      <c r="G173" s="1">
        <v>434</v>
      </c>
      <c r="H173" s="1">
        <v>413.79999999999995</v>
      </c>
      <c r="I173" s="1">
        <v>1060.6999999999998</v>
      </c>
      <c r="J173" s="1">
        <v>138.30000000000001</v>
      </c>
    </row>
    <row r="174" spans="1:10" x14ac:dyDescent="0.25">
      <c r="A174" s="1" t="s">
        <v>33</v>
      </c>
      <c r="B174" t="s">
        <v>140</v>
      </c>
      <c r="C174" s="1">
        <v>2017</v>
      </c>
      <c r="D174" s="1" t="s">
        <v>43</v>
      </c>
      <c r="E174" s="1">
        <v>1765.6999999999998</v>
      </c>
      <c r="F174" s="1">
        <v>154.6</v>
      </c>
      <c r="G174" s="1">
        <v>391.5</v>
      </c>
      <c r="H174" s="1">
        <v>388.2</v>
      </c>
      <c r="I174" s="1">
        <v>1014.7</v>
      </c>
      <c r="J174" s="1">
        <v>133.5</v>
      </c>
    </row>
    <row r="175" spans="1:10" x14ac:dyDescent="0.25">
      <c r="A175" s="1" t="s">
        <v>34</v>
      </c>
      <c r="B175" t="s">
        <v>140</v>
      </c>
      <c r="C175" s="1">
        <v>2017</v>
      </c>
      <c r="D175" s="1" t="s">
        <v>43</v>
      </c>
      <c r="E175" s="1">
        <v>1779.6999999999998</v>
      </c>
      <c r="F175" s="1">
        <v>151.6</v>
      </c>
      <c r="G175" s="1">
        <v>416.90000000000003</v>
      </c>
      <c r="H175" s="1">
        <v>403.1</v>
      </c>
      <c r="I175" s="1">
        <v>1038.5000000000002</v>
      </c>
      <c r="J175" s="1">
        <v>136.1</v>
      </c>
    </row>
    <row r="176" spans="1:10" x14ac:dyDescent="0.25">
      <c r="A176" s="1" t="s">
        <v>30</v>
      </c>
      <c r="B176" t="s">
        <v>141</v>
      </c>
      <c r="C176" s="1">
        <v>2017</v>
      </c>
      <c r="D176" s="1" t="s">
        <v>44</v>
      </c>
      <c r="E176" s="1">
        <v>1817.7000000000003</v>
      </c>
      <c r="F176" s="1">
        <v>152.1</v>
      </c>
      <c r="G176" s="1">
        <v>437</v>
      </c>
      <c r="H176" s="1">
        <v>419.1</v>
      </c>
      <c r="I176" s="1">
        <v>1069.7</v>
      </c>
      <c r="J176" s="1">
        <v>140</v>
      </c>
    </row>
    <row r="177" spans="1:10" x14ac:dyDescent="0.25">
      <c r="A177" s="1" t="s">
        <v>33</v>
      </c>
      <c r="B177" t="s">
        <v>141</v>
      </c>
      <c r="C177" s="1">
        <v>2017</v>
      </c>
      <c r="D177" s="1" t="s">
        <v>44</v>
      </c>
      <c r="E177" s="1">
        <v>1796.7</v>
      </c>
      <c r="F177" s="1">
        <v>156.19999999999999</v>
      </c>
      <c r="G177" s="1">
        <v>393.9</v>
      </c>
      <c r="H177" s="1">
        <v>393.1</v>
      </c>
      <c r="I177" s="1">
        <v>1018.1999999999999</v>
      </c>
      <c r="J177" s="1">
        <v>134.80000000000001</v>
      </c>
    </row>
    <row r="178" spans="1:10" x14ac:dyDescent="0.25">
      <c r="A178" s="1" t="s">
        <v>34</v>
      </c>
      <c r="B178" t="s">
        <v>141</v>
      </c>
      <c r="C178" s="1">
        <v>2017</v>
      </c>
      <c r="D178" s="1" t="s">
        <v>44</v>
      </c>
      <c r="E178" s="1">
        <v>1808.2</v>
      </c>
      <c r="F178" s="1">
        <v>153.19999999999999</v>
      </c>
      <c r="G178" s="1">
        <v>419.59999999999997</v>
      </c>
      <c r="H178" s="1">
        <v>408.29999999999995</v>
      </c>
      <c r="I178" s="1">
        <v>1044.8</v>
      </c>
      <c r="J178" s="1">
        <v>137.6</v>
      </c>
    </row>
    <row r="179" spans="1:10" x14ac:dyDescent="0.25">
      <c r="A179" s="1" t="s">
        <v>30</v>
      </c>
      <c r="B179" t="s">
        <v>142</v>
      </c>
      <c r="C179" s="1">
        <v>2017</v>
      </c>
      <c r="D179" s="1" t="s">
        <v>45</v>
      </c>
      <c r="E179" s="1">
        <v>1813.6000000000001</v>
      </c>
      <c r="F179" s="1">
        <v>153.19999999999999</v>
      </c>
      <c r="G179" s="1">
        <v>437.09999999999997</v>
      </c>
      <c r="H179" s="1">
        <v>421.2</v>
      </c>
      <c r="I179" s="1">
        <v>1069.5</v>
      </c>
      <c r="J179" s="1">
        <v>139.80000000000001</v>
      </c>
    </row>
    <row r="180" spans="1:10" x14ac:dyDescent="0.25">
      <c r="A180" s="1" t="s">
        <v>33</v>
      </c>
      <c r="B180" t="s">
        <v>142</v>
      </c>
      <c r="C180" s="1">
        <v>2017</v>
      </c>
      <c r="D180" s="1" t="s">
        <v>45</v>
      </c>
      <c r="E180" s="1">
        <v>1767.5</v>
      </c>
      <c r="F180" s="1">
        <v>157</v>
      </c>
      <c r="G180" s="1">
        <v>395.19999999999993</v>
      </c>
      <c r="H180" s="1">
        <v>395.2</v>
      </c>
      <c r="I180" s="1">
        <v>1020.4</v>
      </c>
      <c r="J180" s="1">
        <v>134.1</v>
      </c>
    </row>
    <row r="181" spans="1:10" x14ac:dyDescent="0.25">
      <c r="A181" s="1" t="s">
        <v>34</v>
      </c>
      <c r="B181" t="s">
        <v>142</v>
      </c>
      <c r="C181" s="1">
        <v>2017</v>
      </c>
      <c r="D181" s="1" t="s">
        <v>45</v>
      </c>
      <c r="E181" s="1">
        <v>1794.9999999999998</v>
      </c>
      <c r="F181" s="1">
        <v>154.19999999999999</v>
      </c>
      <c r="G181" s="1">
        <v>420.20000000000005</v>
      </c>
      <c r="H181" s="1">
        <v>410.4</v>
      </c>
      <c r="I181" s="1">
        <v>1045.8000000000002</v>
      </c>
      <c r="J181" s="1">
        <v>137.19999999999999</v>
      </c>
    </row>
    <row r="182" spans="1:10" x14ac:dyDescent="0.25">
      <c r="A182" s="1" t="s">
        <v>30</v>
      </c>
      <c r="B182" t="s">
        <v>143</v>
      </c>
      <c r="C182" s="1">
        <v>2018</v>
      </c>
      <c r="D182" s="1" t="s">
        <v>31</v>
      </c>
      <c r="E182" s="1">
        <v>1800.7</v>
      </c>
      <c r="F182" s="1">
        <v>153.6</v>
      </c>
      <c r="G182" s="1">
        <v>438.1</v>
      </c>
      <c r="H182" s="1">
        <v>422.50000000000006</v>
      </c>
      <c r="I182" s="1">
        <v>1073.1000000000001</v>
      </c>
      <c r="J182" s="1">
        <v>139.30000000000001</v>
      </c>
    </row>
    <row r="183" spans="1:10" x14ac:dyDescent="0.25">
      <c r="A183" s="1" t="s">
        <v>33</v>
      </c>
      <c r="B183" t="s">
        <v>143</v>
      </c>
      <c r="C183" s="1">
        <v>2018</v>
      </c>
      <c r="D183" s="1" t="s">
        <v>31</v>
      </c>
      <c r="E183" s="1">
        <v>1748.3000000000002</v>
      </c>
      <c r="F183" s="1">
        <v>157.69999999999999</v>
      </c>
      <c r="G183" s="1">
        <v>396.29999999999995</v>
      </c>
      <c r="H183" s="1">
        <v>397.2</v>
      </c>
      <c r="I183" s="1">
        <v>1026</v>
      </c>
      <c r="J183" s="1">
        <v>134.1</v>
      </c>
    </row>
    <row r="184" spans="1:10" x14ac:dyDescent="0.25">
      <c r="A184" s="1" t="s">
        <v>34</v>
      </c>
      <c r="B184" t="s">
        <v>143</v>
      </c>
      <c r="C184" s="1">
        <v>2018</v>
      </c>
      <c r="D184" s="1" t="s">
        <v>31</v>
      </c>
      <c r="E184" s="1">
        <v>1779.9</v>
      </c>
      <c r="F184" s="1">
        <v>154.69999999999999</v>
      </c>
      <c r="G184" s="1">
        <v>421.3</v>
      </c>
      <c r="H184" s="1">
        <v>411.9</v>
      </c>
      <c r="I184" s="1">
        <v>1050</v>
      </c>
      <c r="J184" s="1">
        <v>136.9</v>
      </c>
    </row>
    <row r="185" spans="1:10" x14ac:dyDescent="0.25">
      <c r="A185" s="1" t="s">
        <v>30</v>
      </c>
      <c r="B185" t="s">
        <v>144</v>
      </c>
      <c r="C185" s="1">
        <v>2018</v>
      </c>
      <c r="D185" s="1" t="s">
        <v>35</v>
      </c>
      <c r="E185" s="1">
        <v>1781.5</v>
      </c>
      <c r="F185" s="1">
        <v>153.30000000000001</v>
      </c>
      <c r="G185" s="1">
        <v>438.90000000000003</v>
      </c>
      <c r="H185" s="1">
        <v>423.6</v>
      </c>
      <c r="I185" s="1">
        <v>1074.3</v>
      </c>
      <c r="J185" s="1">
        <v>138.5</v>
      </c>
    </row>
    <row r="186" spans="1:10" x14ac:dyDescent="0.25">
      <c r="A186" s="1" t="s">
        <v>33</v>
      </c>
      <c r="B186" t="s">
        <v>144</v>
      </c>
      <c r="C186" s="1">
        <v>2018</v>
      </c>
      <c r="D186" s="1" t="s">
        <v>35</v>
      </c>
      <c r="E186" s="1">
        <v>1727.9</v>
      </c>
      <c r="F186" s="1">
        <v>159.30000000000001</v>
      </c>
      <c r="G186" s="1">
        <v>397.09999999999997</v>
      </c>
      <c r="H186" s="1">
        <v>398.5</v>
      </c>
      <c r="I186" s="1">
        <v>1030.5999999999999</v>
      </c>
      <c r="J186" s="1">
        <v>134</v>
      </c>
    </row>
    <row r="187" spans="1:10" x14ac:dyDescent="0.25">
      <c r="A187" s="1" t="s">
        <v>34</v>
      </c>
      <c r="B187" t="s">
        <v>144</v>
      </c>
      <c r="C187" s="1">
        <v>2018</v>
      </c>
      <c r="D187" s="1" t="s">
        <v>35</v>
      </c>
      <c r="E187" s="1">
        <v>1760.3999999999996</v>
      </c>
      <c r="F187" s="1">
        <v>154.9</v>
      </c>
      <c r="G187" s="1">
        <v>422.00000000000006</v>
      </c>
      <c r="H187" s="1">
        <v>413.2</v>
      </c>
      <c r="I187" s="1">
        <v>1053</v>
      </c>
      <c r="J187" s="1">
        <v>136.4</v>
      </c>
    </row>
    <row r="188" spans="1:10" x14ac:dyDescent="0.25">
      <c r="A188" s="1" t="s">
        <v>30</v>
      </c>
      <c r="B188" t="s">
        <v>145</v>
      </c>
      <c r="C188" s="1">
        <v>2018</v>
      </c>
      <c r="D188" s="1" t="s">
        <v>36</v>
      </c>
      <c r="E188" s="1">
        <v>1781.9999999999998</v>
      </c>
      <c r="F188" s="1">
        <v>155.1</v>
      </c>
      <c r="G188" s="1">
        <v>440.49999999999994</v>
      </c>
      <c r="H188" s="1">
        <v>424.5</v>
      </c>
      <c r="I188" s="1">
        <v>1081.0999999999999</v>
      </c>
      <c r="J188" s="1">
        <v>138.69999999999999</v>
      </c>
    </row>
    <row r="189" spans="1:10" x14ac:dyDescent="0.25">
      <c r="A189" s="1" t="s">
        <v>33</v>
      </c>
      <c r="B189" t="s">
        <v>145</v>
      </c>
      <c r="C189" s="1">
        <v>2018</v>
      </c>
      <c r="D189" s="1" t="s">
        <v>36</v>
      </c>
      <c r="E189" s="1">
        <v>1715.5</v>
      </c>
      <c r="F189" s="1">
        <v>159.69999999999999</v>
      </c>
      <c r="G189" s="1">
        <v>398.59999999999997</v>
      </c>
      <c r="H189" s="1">
        <v>399.2</v>
      </c>
      <c r="I189" s="1">
        <v>1035</v>
      </c>
      <c r="J189" s="1">
        <v>134</v>
      </c>
    </row>
    <row r="190" spans="1:10" x14ac:dyDescent="0.25">
      <c r="A190" s="1" t="s">
        <v>34</v>
      </c>
      <c r="B190" t="s">
        <v>145</v>
      </c>
      <c r="C190" s="1">
        <v>2018</v>
      </c>
      <c r="D190" s="1" t="s">
        <v>36</v>
      </c>
      <c r="E190" s="1">
        <v>1756</v>
      </c>
      <c r="F190" s="1">
        <v>156.30000000000001</v>
      </c>
      <c r="G190" s="1">
        <v>423.59999999999997</v>
      </c>
      <c r="H190" s="1">
        <v>414.1</v>
      </c>
      <c r="I190" s="1">
        <v>1058.0999999999999</v>
      </c>
      <c r="J190" s="1">
        <v>136.5</v>
      </c>
    </row>
    <row r="191" spans="1:10" x14ac:dyDescent="0.25">
      <c r="A191" s="1" t="s">
        <v>30</v>
      </c>
      <c r="B191" t="s">
        <v>146</v>
      </c>
      <c r="C191" s="1">
        <v>2018</v>
      </c>
      <c r="D191" s="1" t="s">
        <v>37</v>
      </c>
      <c r="E191" s="1">
        <v>1780</v>
      </c>
      <c r="F191" s="1">
        <v>156.1</v>
      </c>
      <c r="G191" s="1">
        <v>442.5</v>
      </c>
      <c r="H191" s="1">
        <v>427.6</v>
      </c>
      <c r="I191" s="1">
        <v>1088.5</v>
      </c>
      <c r="J191" s="1">
        <v>139.1</v>
      </c>
    </row>
    <row r="192" spans="1:10" x14ac:dyDescent="0.25">
      <c r="A192" s="1" t="s">
        <v>33</v>
      </c>
      <c r="B192" t="s">
        <v>146</v>
      </c>
      <c r="C192" s="1">
        <v>2018</v>
      </c>
      <c r="D192" s="1" t="s">
        <v>37</v>
      </c>
      <c r="E192" s="1">
        <v>1720.0000000000002</v>
      </c>
      <c r="F192" s="1">
        <v>159.19999999999999</v>
      </c>
      <c r="G192" s="1">
        <v>401.4</v>
      </c>
      <c r="H192" s="1">
        <v>399.3</v>
      </c>
      <c r="I192" s="1">
        <v>1044.3000000000002</v>
      </c>
      <c r="J192" s="1">
        <v>134.80000000000001</v>
      </c>
    </row>
    <row r="193" spans="1:10" x14ac:dyDescent="0.25">
      <c r="A193" s="1" t="s">
        <v>34</v>
      </c>
      <c r="B193" t="s">
        <v>146</v>
      </c>
      <c r="C193" s="1">
        <v>2018</v>
      </c>
      <c r="D193" s="1" t="s">
        <v>37</v>
      </c>
      <c r="E193" s="1">
        <v>1757.1000000000001</v>
      </c>
      <c r="F193" s="1">
        <v>156.9</v>
      </c>
      <c r="G193" s="1">
        <v>426.00000000000006</v>
      </c>
      <c r="H193" s="1">
        <v>416</v>
      </c>
      <c r="I193" s="1">
        <v>1066.9000000000001</v>
      </c>
      <c r="J193" s="1">
        <v>137.1</v>
      </c>
    </row>
    <row r="194" spans="1:10" x14ac:dyDescent="0.25">
      <c r="A194" s="1" t="s">
        <v>30</v>
      </c>
      <c r="B194" t="s">
        <v>147</v>
      </c>
      <c r="C194" s="1">
        <v>2018</v>
      </c>
      <c r="D194" s="1" t="s">
        <v>38</v>
      </c>
      <c r="E194" s="1">
        <v>1782.4</v>
      </c>
      <c r="F194" s="1">
        <v>157</v>
      </c>
      <c r="G194" s="1">
        <v>444.7</v>
      </c>
      <c r="H194" s="1">
        <v>429.3</v>
      </c>
      <c r="I194" s="1">
        <v>1095.0999999999999</v>
      </c>
      <c r="J194" s="1">
        <v>139.80000000000001</v>
      </c>
    </row>
    <row r="195" spans="1:10" x14ac:dyDescent="0.25">
      <c r="A195" s="1" t="s">
        <v>33</v>
      </c>
      <c r="B195" t="s">
        <v>147</v>
      </c>
      <c r="C195" s="1">
        <v>2018</v>
      </c>
      <c r="D195" s="1" t="s">
        <v>38</v>
      </c>
      <c r="E195" s="1">
        <v>1722.8999999999999</v>
      </c>
      <c r="F195" s="1">
        <v>160.30000000000001</v>
      </c>
      <c r="G195" s="1">
        <v>403.5</v>
      </c>
      <c r="H195" s="1">
        <v>400.4</v>
      </c>
      <c r="I195" s="1">
        <v>1049.5999999999999</v>
      </c>
      <c r="J195" s="1">
        <v>135.4</v>
      </c>
    </row>
    <row r="196" spans="1:10" x14ac:dyDescent="0.25">
      <c r="A196" s="1" t="s">
        <v>34</v>
      </c>
      <c r="B196" t="s">
        <v>147</v>
      </c>
      <c r="C196" s="1">
        <v>2018</v>
      </c>
      <c r="D196" s="1" t="s">
        <v>38</v>
      </c>
      <c r="E196" s="1">
        <v>1759.8</v>
      </c>
      <c r="F196" s="1">
        <v>157.9</v>
      </c>
      <c r="G196" s="1">
        <v>428.1</v>
      </c>
      <c r="H196" s="1">
        <v>417.5</v>
      </c>
      <c r="I196" s="1">
        <v>1072.9000000000001</v>
      </c>
      <c r="J196" s="1">
        <v>137.80000000000001</v>
      </c>
    </row>
    <row r="197" spans="1:10" x14ac:dyDescent="0.25">
      <c r="A197" s="1" t="s">
        <v>30</v>
      </c>
      <c r="B197" t="s">
        <v>148</v>
      </c>
      <c r="C197" s="1">
        <v>2018</v>
      </c>
      <c r="D197" s="1" t="s">
        <v>39</v>
      </c>
      <c r="E197" s="1">
        <v>1790.2999999999997</v>
      </c>
      <c r="F197" s="1">
        <v>157.30000000000001</v>
      </c>
      <c r="G197" s="1">
        <v>446.30000000000007</v>
      </c>
      <c r="H197" s="1">
        <v>429.8</v>
      </c>
      <c r="I197" s="1">
        <v>1099.2</v>
      </c>
      <c r="J197" s="1">
        <v>140.5</v>
      </c>
    </row>
    <row r="198" spans="1:10" x14ac:dyDescent="0.25">
      <c r="A198" s="1" t="s">
        <v>33</v>
      </c>
      <c r="B198" t="s">
        <v>148</v>
      </c>
      <c r="C198" s="1">
        <v>2018</v>
      </c>
      <c r="D198" s="1" t="s">
        <v>39</v>
      </c>
      <c r="E198" s="1">
        <v>1747.3000000000002</v>
      </c>
      <c r="F198" s="1">
        <v>161</v>
      </c>
      <c r="G198" s="1">
        <v>405.00000000000006</v>
      </c>
      <c r="H198" s="1">
        <v>402.1</v>
      </c>
      <c r="I198" s="1">
        <v>1054.1999999999998</v>
      </c>
      <c r="J198" s="1">
        <v>136.19999999999999</v>
      </c>
    </row>
    <row r="199" spans="1:10" x14ac:dyDescent="0.25">
      <c r="A199" s="1" t="s">
        <v>34</v>
      </c>
      <c r="B199" t="s">
        <v>148</v>
      </c>
      <c r="C199" s="1">
        <v>2018</v>
      </c>
      <c r="D199" s="1" t="s">
        <v>39</v>
      </c>
      <c r="E199" s="1">
        <v>1774.1000000000001</v>
      </c>
      <c r="F199" s="1">
        <v>158.30000000000001</v>
      </c>
      <c r="G199" s="1">
        <v>429.69999999999993</v>
      </c>
      <c r="H199" s="1">
        <v>418.5</v>
      </c>
      <c r="I199" s="1">
        <v>1077</v>
      </c>
      <c r="J199" s="1">
        <v>138.5</v>
      </c>
    </row>
    <row r="200" spans="1:10" x14ac:dyDescent="0.25">
      <c r="A200" s="1" t="s">
        <v>30</v>
      </c>
      <c r="B200" t="s">
        <v>149</v>
      </c>
      <c r="C200" s="1">
        <v>2018</v>
      </c>
      <c r="D200" s="1" t="s">
        <v>40</v>
      </c>
      <c r="E200" s="1">
        <v>1810.5000000000002</v>
      </c>
      <c r="F200" s="1">
        <v>156.1</v>
      </c>
      <c r="G200" s="1">
        <v>447.20000000000005</v>
      </c>
      <c r="H200" s="1">
        <v>433.5</v>
      </c>
      <c r="I200" s="1">
        <v>1102.9000000000001</v>
      </c>
      <c r="J200" s="1">
        <v>141.80000000000001</v>
      </c>
    </row>
    <row r="201" spans="1:10" x14ac:dyDescent="0.25">
      <c r="A201" s="1" t="s">
        <v>33</v>
      </c>
      <c r="B201" t="s">
        <v>149</v>
      </c>
      <c r="C201" s="1">
        <v>2018</v>
      </c>
      <c r="D201" s="1" t="s">
        <v>40</v>
      </c>
      <c r="E201" s="1">
        <v>1771.1</v>
      </c>
      <c r="F201" s="1">
        <v>161.4</v>
      </c>
      <c r="G201" s="1">
        <v>406.39999999999992</v>
      </c>
      <c r="H201" s="1">
        <v>405.29999999999995</v>
      </c>
      <c r="I201" s="1">
        <v>1062.7000000000003</v>
      </c>
      <c r="J201" s="1">
        <v>137.5</v>
      </c>
    </row>
    <row r="202" spans="1:10" x14ac:dyDescent="0.25">
      <c r="A202" s="1" t="s">
        <v>34</v>
      </c>
      <c r="B202" t="s">
        <v>149</v>
      </c>
      <c r="C202" s="1">
        <v>2018</v>
      </c>
      <c r="D202" s="1" t="s">
        <v>40</v>
      </c>
      <c r="E202" s="1">
        <v>1795.3</v>
      </c>
      <c r="F202" s="1">
        <v>157.5</v>
      </c>
      <c r="G202" s="1">
        <v>430.80000000000007</v>
      </c>
      <c r="H202" s="1">
        <v>421.9</v>
      </c>
      <c r="I202" s="1">
        <v>1083.3999999999999</v>
      </c>
      <c r="J202" s="1">
        <v>139.80000000000001</v>
      </c>
    </row>
    <row r="203" spans="1:10" x14ac:dyDescent="0.25">
      <c r="A203" s="1" t="s">
        <v>30</v>
      </c>
      <c r="B203" t="s">
        <v>150</v>
      </c>
      <c r="C203" s="1">
        <v>2018</v>
      </c>
      <c r="D203" s="1" t="s">
        <v>41</v>
      </c>
      <c r="E203" s="1">
        <v>1818.8</v>
      </c>
      <c r="F203" s="1">
        <v>156.4</v>
      </c>
      <c r="G203" s="1">
        <v>449.2</v>
      </c>
      <c r="H203" s="1">
        <v>436.09999999999997</v>
      </c>
      <c r="I203" s="1">
        <v>1107.4000000000001</v>
      </c>
      <c r="J203" s="1">
        <v>142.5</v>
      </c>
    </row>
    <row r="204" spans="1:10" x14ac:dyDescent="0.25">
      <c r="A204" s="1" t="s">
        <v>33</v>
      </c>
      <c r="B204" t="s">
        <v>150</v>
      </c>
      <c r="C204" s="1">
        <v>2018</v>
      </c>
      <c r="D204" s="1" t="s">
        <v>41</v>
      </c>
      <c r="E204" s="1">
        <v>1767.6</v>
      </c>
      <c r="F204" s="1">
        <v>162.1</v>
      </c>
      <c r="G204" s="1">
        <v>407.3</v>
      </c>
      <c r="H204" s="1">
        <v>408.79999999999995</v>
      </c>
      <c r="I204" s="1">
        <v>1070.2</v>
      </c>
      <c r="J204" s="1">
        <v>138</v>
      </c>
    </row>
    <row r="205" spans="1:10" x14ac:dyDescent="0.25">
      <c r="A205" s="1" t="s">
        <v>34</v>
      </c>
      <c r="B205" t="s">
        <v>150</v>
      </c>
      <c r="C205" s="1">
        <v>2018</v>
      </c>
      <c r="D205" s="1" t="s">
        <v>41</v>
      </c>
      <c r="E205" s="1">
        <v>1798.7000000000003</v>
      </c>
      <c r="F205" s="1">
        <v>157.9</v>
      </c>
      <c r="G205" s="1">
        <v>432.20000000000005</v>
      </c>
      <c r="H205" s="1">
        <v>424.9</v>
      </c>
      <c r="I205" s="1">
        <v>1089.3</v>
      </c>
      <c r="J205" s="1">
        <v>140.4</v>
      </c>
    </row>
    <row r="206" spans="1:10" x14ac:dyDescent="0.25">
      <c r="A206" s="1" t="s">
        <v>30</v>
      </c>
      <c r="B206" t="s">
        <v>151</v>
      </c>
      <c r="C206" s="1">
        <v>2018</v>
      </c>
      <c r="D206" s="1" t="s">
        <v>42</v>
      </c>
      <c r="E206" s="1">
        <v>1799.8000000000002</v>
      </c>
      <c r="F206" s="1">
        <v>157.69999999999999</v>
      </c>
      <c r="G206" s="1">
        <v>449.5</v>
      </c>
      <c r="H206" s="1">
        <v>438.3</v>
      </c>
      <c r="I206" s="1">
        <v>1114.5</v>
      </c>
      <c r="J206" s="1">
        <v>142.1</v>
      </c>
    </row>
    <row r="207" spans="1:10" x14ac:dyDescent="0.25">
      <c r="A207" s="1" t="s">
        <v>33</v>
      </c>
      <c r="B207" t="s">
        <v>151</v>
      </c>
      <c r="C207" s="1">
        <v>2018</v>
      </c>
      <c r="D207" s="1" t="s">
        <v>42</v>
      </c>
      <c r="E207" s="1">
        <v>1748.4</v>
      </c>
      <c r="F207" s="1">
        <v>163.30000000000001</v>
      </c>
      <c r="G207" s="1">
        <v>409.2</v>
      </c>
      <c r="H207" s="1">
        <v>411.4</v>
      </c>
      <c r="I207" s="1">
        <v>1075.6999999999998</v>
      </c>
      <c r="J207" s="1">
        <v>138.1</v>
      </c>
    </row>
    <row r="208" spans="1:10" x14ac:dyDescent="0.25">
      <c r="A208" s="1" t="s">
        <v>34</v>
      </c>
      <c r="B208" t="s">
        <v>151</v>
      </c>
      <c r="C208" s="1">
        <v>2018</v>
      </c>
      <c r="D208" s="1" t="s">
        <v>42</v>
      </c>
      <c r="E208" s="1">
        <v>1779.5</v>
      </c>
      <c r="F208" s="1">
        <v>159.19999999999999</v>
      </c>
      <c r="G208" s="1">
        <v>433.29999999999995</v>
      </c>
      <c r="H208" s="1">
        <v>427.3</v>
      </c>
      <c r="I208" s="1">
        <v>1095.3</v>
      </c>
      <c r="J208" s="1">
        <v>140.19999999999999</v>
      </c>
    </row>
    <row r="209" spans="1:10" x14ac:dyDescent="0.25">
      <c r="A209" s="1" t="s">
        <v>30</v>
      </c>
      <c r="B209" t="s">
        <v>152</v>
      </c>
      <c r="C209" s="1">
        <v>2018</v>
      </c>
      <c r="D209" s="1" t="s">
        <v>43</v>
      </c>
      <c r="E209" s="1">
        <v>1782.2</v>
      </c>
      <c r="F209" s="1">
        <v>159.6</v>
      </c>
      <c r="G209" s="1">
        <v>445</v>
      </c>
      <c r="H209" s="1">
        <v>443.5</v>
      </c>
      <c r="I209" s="1">
        <v>1130.7</v>
      </c>
      <c r="J209" s="1">
        <v>142.19999999999999</v>
      </c>
    </row>
    <row r="210" spans="1:10" x14ac:dyDescent="0.25">
      <c r="A210" s="1" t="s">
        <v>33</v>
      </c>
      <c r="B210" t="s">
        <v>152</v>
      </c>
      <c r="C210" s="1">
        <v>2018</v>
      </c>
      <c r="D210" s="1" t="s">
        <v>43</v>
      </c>
      <c r="E210" s="1">
        <v>1754.1</v>
      </c>
      <c r="F210" s="1">
        <v>164</v>
      </c>
      <c r="G210" s="1">
        <v>411</v>
      </c>
      <c r="H210" s="1">
        <v>414.80000000000007</v>
      </c>
      <c r="I210" s="1">
        <v>1080.3</v>
      </c>
      <c r="J210" s="1">
        <v>138.9</v>
      </c>
    </row>
    <row r="211" spans="1:10" x14ac:dyDescent="0.25">
      <c r="A211" s="1" t="s">
        <v>34</v>
      </c>
      <c r="B211" t="s">
        <v>152</v>
      </c>
      <c r="C211" s="1">
        <v>2018</v>
      </c>
      <c r="D211" s="1" t="s">
        <v>43</v>
      </c>
      <c r="E211" s="1">
        <v>1776.2</v>
      </c>
      <c r="F211" s="1">
        <v>162.6</v>
      </c>
      <c r="G211" s="1">
        <v>434</v>
      </c>
      <c r="H211" s="1">
        <v>434.40000000000003</v>
      </c>
      <c r="I211" s="1">
        <v>1110.0999999999999</v>
      </c>
      <c r="J211" s="1">
        <v>140.80000000000001</v>
      </c>
    </row>
    <row r="212" spans="1:10" x14ac:dyDescent="0.25">
      <c r="A212" s="1" t="s">
        <v>30</v>
      </c>
      <c r="B212" t="s">
        <v>153</v>
      </c>
      <c r="C212" s="1">
        <v>2018</v>
      </c>
      <c r="D212" s="1" t="s">
        <v>44</v>
      </c>
      <c r="E212" s="1">
        <v>1787.4999999999995</v>
      </c>
      <c r="F212" s="1">
        <v>161.9</v>
      </c>
      <c r="G212" s="1">
        <v>448</v>
      </c>
      <c r="H212" s="1">
        <v>445.20000000000005</v>
      </c>
      <c r="I212" s="1">
        <v>1137.8000000000002</v>
      </c>
      <c r="J212" s="1">
        <v>142.4</v>
      </c>
    </row>
    <row r="213" spans="1:10" x14ac:dyDescent="0.25">
      <c r="A213" s="1" t="s">
        <v>33</v>
      </c>
      <c r="B213" t="s">
        <v>153</v>
      </c>
      <c r="C213" s="1">
        <v>2018</v>
      </c>
      <c r="D213" s="1" t="s">
        <v>44</v>
      </c>
      <c r="E213" s="1">
        <v>1757.4999999999998</v>
      </c>
      <c r="F213" s="1">
        <v>164.4</v>
      </c>
      <c r="G213" s="1">
        <v>413.1</v>
      </c>
      <c r="H213" s="1">
        <v>419.40000000000003</v>
      </c>
      <c r="I213" s="1">
        <v>1081</v>
      </c>
      <c r="J213" s="1">
        <v>139</v>
      </c>
    </row>
    <row r="214" spans="1:10" x14ac:dyDescent="0.25">
      <c r="A214" s="1" t="s">
        <v>34</v>
      </c>
      <c r="B214" t="s">
        <v>153</v>
      </c>
      <c r="C214" s="1">
        <v>2018</v>
      </c>
      <c r="D214" s="1" t="s">
        <v>44</v>
      </c>
      <c r="E214" s="1">
        <v>1775.7000000000003</v>
      </c>
      <c r="F214" s="1">
        <v>162.6</v>
      </c>
      <c r="G214" s="1">
        <v>433.79999999999995</v>
      </c>
      <c r="H214" s="1">
        <v>434.2</v>
      </c>
      <c r="I214" s="1">
        <v>1110.0999999999999</v>
      </c>
      <c r="J214" s="1">
        <v>140.80000000000001</v>
      </c>
    </row>
    <row r="215" spans="1:10" x14ac:dyDescent="0.25">
      <c r="A215" s="1" t="s">
        <v>30</v>
      </c>
      <c r="B215" t="s">
        <v>154</v>
      </c>
      <c r="C215" s="1">
        <v>2018</v>
      </c>
      <c r="D215" s="1" t="s">
        <v>45</v>
      </c>
      <c r="E215" s="1">
        <v>1773.1000000000001</v>
      </c>
      <c r="F215" s="1">
        <v>162.4</v>
      </c>
      <c r="G215" s="1">
        <v>448.3</v>
      </c>
      <c r="H215" s="1">
        <v>445</v>
      </c>
      <c r="I215" s="1">
        <v>1156.4000000000001</v>
      </c>
      <c r="J215" s="1">
        <v>141.9</v>
      </c>
    </row>
    <row r="216" spans="1:10" x14ac:dyDescent="0.25">
      <c r="A216" s="1" t="s">
        <v>33</v>
      </c>
      <c r="B216" t="s">
        <v>154</v>
      </c>
      <c r="C216" s="1">
        <v>2018</v>
      </c>
      <c r="D216" s="1" t="s">
        <v>45</v>
      </c>
      <c r="E216" s="1">
        <v>1746.6</v>
      </c>
      <c r="F216" s="1">
        <v>164.6</v>
      </c>
      <c r="G216" s="1">
        <v>413.8</v>
      </c>
      <c r="H216" s="1">
        <v>415.09999999999997</v>
      </c>
      <c r="I216" s="1">
        <v>1080.5999999999999</v>
      </c>
      <c r="J216" s="1">
        <v>138</v>
      </c>
    </row>
    <row r="217" spans="1:10" x14ac:dyDescent="0.25">
      <c r="A217" s="1" t="s">
        <v>34</v>
      </c>
      <c r="B217" t="s">
        <v>154</v>
      </c>
      <c r="C217" s="1">
        <v>2018</v>
      </c>
      <c r="D217" s="1" t="s">
        <v>45</v>
      </c>
      <c r="E217" s="1">
        <v>1762.7999999999997</v>
      </c>
      <c r="F217" s="1">
        <v>163</v>
      </c>
      <c r="G217" s="1">
        <v>434.3</v>
      </c>
      <c r="H217" s="1">
        <v>432.4</v>
      </c>
      <c r="I217" s="1">
        <v>1119.4000000000001</v>
      </c>
      <c r="J217" s="1">
        <v>140.1</v>
      </c>
    </row>
    <row r="218" spans="1:10" x14ac:dyDescent="0.25">
      <c r="A218" s="1" t="s">
        <v>30</v>
      </c>
      <c r="B218" t="s">
        <v>155</v>
      </c>
      <c r="C218" s="1">
        <v>2019</v>
      </c>
      <c r="D218" s="1" t="s">
        <v>31</v>
      </c>
      <c r="E218" s="1">
        <v>1759.6000000000001</v>
      </c>
      <c r="F218" s="1">
        <v>162.69999999999999</v>
      </c>
      <c r="G218" s="1">
        <v>445.6</v>
      </c>
      <c r="H218" s="1">
        <v>444</v>
      </c>
      <c r="I218" s="1">
        <v>1156.3</v>
      </c>
      <c r="J218" s="1">
        <v>141</v>
      </c>
    </row>
    <row r="219" spans="1:10" x14ac:dyDescent="0.25">
      <c r="A219" s="1" t="s">
        <v>33</v>
      </c>
      <c r="B219" t="s">
        <v>155</v>
      </c>
      <c r="C219" s="1">
        <v>2019</v>
      </c>
      <c r="D219" s="1" t="s">
        <v>31</v>
      </c>
      <c r="E219" s="1">
        <v>1744.3000000000002</v>
      </c>
      <c r="F219" s="1">
        <v>164.7</v>
      </c>
      <c r="G219" s="1">
        <v>414.50000000000006</v>
      </c>
      <c r="H219" s="1">
        <v>412.59999999999997</v>
      </c>
      <c r="I219" s="1">
        <v>1082.8000000000002</v>
      </c>
      <c r="J219" s="1">
        <v>138</v>
      </c>
    </row>
    <row r="220" spans="1:10" x14ac:dyDescent="0.25">
      <c r="A220" s="1" t="s">
        <v>34</v>
      </c>
      <c r="B220" t="s">
        <v>155</v>
      </c>
      <c r="C220" s="1">
        <v>2019</v>
      </c>
      <c r="D220" s="1" t="s">
        <v>31</v>
      </c>
      <c r="E220" s="1">
        <v>1753.3999999999999</v>
      </c>
      <c r="F220" s="1">
        <v>163.19999999999999</v>
      </c>
      <c r="G220" s="1">
        <v>432.99999999999994</v>
      </c>
      <c r="H220" s="1">
        <v>430.79999999999995</v>
      </c>
      <c r="I220" s="1">
        <v>1120.3</v>
      </c>
      <c r="J220" s="1">
        <v>139.6</v>
      </c>
    </row>
    <row r="221" spans="1:10" x14ac:dyDescent="0.25">
      <c r="A221" s="1" t="s">
        <v>30</v>
      </c>
      <c r="B221" t="s">
        <v>156</v>
      </c>
      <c r="C221" s="1">
        <v>2019</v>
      </c>
      <c r="D221" s="1" t="s">
        <v>35</v>
      </c>
      <c r="E221" s="1">
        <v>1759.8000000000002</v>
      </c>
      <c r="F221" s="1">
        <v>162.80000000000001</v>
      </c>
      <c r="G221" s="1">
        <v>446.5</v>
      </c>
      <c r="H221" s="1">
        <v>443.9</v>
      </c>
      <c r="I221" s="1">
        <v>1160.5</v>
      </c>
      <c r="J221" s="1">
        <v>141</v>
      </c>
    </row>
    <row r="222" spans="1:10" x14ac:dyDescent="0.25">
      <c r="A222" s="1" t="s">
        <v>33</v>
      </c>
      <c r="B222" t="s">
        <v>156</v>
      </c>
      <c r="C222" s="1">
        <v>2019</v>
      </c>
      <c r="D222" s="1" t="s">
        <v>35</v>
      </c>
      <c r="E222" s="1">
        <v>1754.4</v>
      </c>
      <c r="F222" s="1">
        <v>164.9</v>
      </c>
      <c r="G222" s="1">
        <v>415.5</v>
      </c>
      <c r="H222" s="1">
        <v>412.20000000000005</v>
      </c>
      <c r="I222" s="1">
        <v>1087</v>
      </c>
      <c r="J222" s="1">
        <v>138.6</v>
      </c>
    </row>
    <row r="223" spans="1:10" x14ac:dyDescent="0.25">
      <c r="A223" s="1" t="s">
        <v>34</v>
      </c>
      <c r="B223" t="s">
        <v>156</v>
      </c>
      <c r="C223" s="1">
        <v>2019</v>
      </c>
      <c r="D223" s="1" t="s">
        <v>35</v>
      </c>
      <c r="E223" s="1">
        <v>1757.1</v>
      </c>
      <c r="F223" s="1">
        <v>163.4</v>
      </c>
      <c r="G223" s="1">
        <v>433.9</v>
      </c>
      <c r="H223" s="1">
        <v>430.59999999999997</v>
      </c>
      <c r="I223" s="1">
        <v>1124.3</v>
      </c>
      <c r="J223" s="1">
        <v>139.9</v>
      </c>
    </row>
    <row r="224" spans="1:10" x14ac:dyDescent="0.25">
      <c r="A224" s="1" t="s">
        <v>30</v>
      </c>
      <c r="B224" t="s">
        <v>157</v>
      </c>
      <c r="C224" s="1">
        <v>2019</v>
      </c>
      <c r="D224" s="1" t="s">
        <v>36</v>
      </c>
      <c r="E224" s="1">
        <v>1761.2000000000003</v>
      </c>
      <c r="F224" s="1">
        <v>162.9</v>
      </c>
      <c r="G224" s="1">
        <v>447</v>
      </c>
      <c r="H224" s="1">
        <v>445.4</v>
      </c>
      <c r="I224" s="1">
        <v>1161.8999999999999</v>
      </c>
      <c r="J224" s="1">
        <v>141.19999999999999</v>
      </c>
    </row>
    <row r="225" spans="1:10" x14ac:dyDescent="0.25">
      <c r="A225" s="1" t="s">
        <v>33</v>
      </c>
      <c r="B225" t="s">
        <v>157</v>
      </c>
      <c r="C225" s="1">
        <v>2019</v>
      </c>
      <c r="D225" s="1" t="s">
        <v>36</v>
      </c>
      <c r="E225" s="1">
        <v>1768.4</v>
      </c>
      <c r="F225" s="1">
        <v>165.3</v>
      </c>
      <c r="G225" s="1">
        <v>416.29999999999995</v>
      </c>
      <c r="H225" s="1">
        <v>414.6</v>
      </c>
      <c r="I225" s="1">
        <v>1090</v>
      </c>
      <c r="J225" s="1">
        <v>139.5</v>
      </c>
    </row>
    <row r="226" spans="1:10" x14ac:dyDescent="0.25">
      <c r="A226" s="1" t="s">
        <v>34</v>
      </c>
      <c r="B226" t="s">
        <v>157</v>
      </c>
      <c r="C226" s="1">
        <v>2019</v>
      </c>
      <c r="D226" s="1" t="s">
        <v>36</v>
      </c>
      <c r="E226" s="1">
        <v>1762.9</v>
      </c>
      <c r="F226" s="1">
        <v>163.5</v>
      </c>
      <c r="G226" s="1">
        <v>434.5</v>
      </c>
      <c r="H226" s="1">
        <v>432.5</v>
      </c>
      <c r="I226" s="1">
        <v>1126.4000000000001</v>
      </c>
      <c r="J226" s="1">
        <v>140.4</v>
      </c>
    </row>
    <row r="227" spans="1:10" x14ac:dyDescent="0.25">
      <c r="A227" s="1" t="s">
        <v>30</v>
      </c>
      <c r="B227" t="s">
        <v>158</v>
      </c>
      <c r="C227" s="1">
        <v>2019</v>
      </c>
      <c r="D227" s="1" t="s">
        <v>38</v>
      </c>
      <c r="E227" s="1">
        <v>1782.1000000000001</v>
      </c>
      <c r="F227" s="1">
        <v>163.30000000000001</v>
      </c>
      <c r="G227" s="1">
        <v>448.6</v>
      </c>
      <c r="H227" s="1">
        <v>446.5</v>
      </c>
      <c r="I227" s="1">
        <v>1168.9000000000001</v>
      </c>
      <c r="J227" s="1">
        <v>142.4</v>
      </c>
    </row>
    <row r="228" spans="1:10" x14ac:dyDescent="0.25">
      <c r="A228" s="1" t="s">
        <v>33</v>
      </c>
      <c r="B228" t="s">
        <v>158</v>
      </c>
      <c r="C228" s="1">
        <v>2019</v>
      </c>
      <c r="D228" s="1" t="s">
        <v>38</v>
      </c>
      <c r="E228" s="1">
        <v>1811.5000000000002</v>
      </c>
      <c r="F228" s="1">
        <v>166.2</v>
      </c>
      <c r="G228" s="1">
        <v>417.9</v>
      </c>
      <c r="H228" s="1">
        <v>416.7</v>
      </c>
      <c r="I228" s="1">
        <v>1095.6000000000001</v>
      </c>
      <c r="J228" s="1">
        <v>141.5</v>
      </c>
    </row>
    <row r="229" spans="1:10" x14ac:dyDescent="0.25">
      <c r="A229" s="1" t="s">
        <v>34</v>
      </c>
      <c r="B229" t="s">
        <v>158</v>
      </c>
      <c r="C229" s="1">
        <v>2019</v>
      </c>
      <c r="D229" s="1" t="s">
        <v>38</v>
      </c>
      <c r="E229" s="1">
        <v>1791.9000000000003</v>
      </c>
      <c r="F229" s="1">
        <v>164.1</v>
      </c>
      <c r="G229" s="1">
        <v>436.1</v>
      </c>
      <c r="H229" s="1">
        <v>434.09999999999997</v>
      </c>
      <c r="I229" s="1">
        <v>1132.6999999999998</v>
      </c>
      <c r="J229" s="1">
        <v>142</v>
      </c>
    </row>
    <row r="230" spans="1:10" x14ac:dyDescent="0.25">
      <c r="A230" s="1" t="s">
        <v>30</v>
      </c>
      <c r="B230" t="s">
        <v>159</v>
      </c>
      <c r="C230" s="1">
        <v>2019</v>
      </c>
      <c r="D230" s="1" t="s">
        <v>39</v>
      </c>
      <c r="E230" s="1">
        <v>1804.1999999999998</v>
      </c>
      <c r="F230" s="1">
        <v>164.2</v>
      </c>
      <c r="G230" s="1">
        <v>448.59999999999997</v>
      </c>
      <c r="H230" s="1">
        <v>446.80000000000007</v>
      </c>
      <c r="I230" s="1">
        <v>1173.5</v>
      </c>
      <c r="J230" s="1">
        <v>143.6</v>
      </c>
    </row>
    <row r="231" spans="1:10" x14ac:dyDescent="0.25">
      <c r="A231" s="1" t="s">
        <v>33</v>
      </c>
      <c r="B231" t="s">
        <v>159</v>
      </c>
      <c r="C231" s="1">
        <v>2019</v>
      </c>
      <c r="D231" s="1" t="s">
        <v>39</v>
      </c>
      <c r="E231" s="1">
        <v>1833.2999999999997</v>
      </c>
      <c r="F231" s="1">
        <v>166.7</v>
      </c>
      <c r="G231" s="1">
        <v>418.39999999999992</v>
      </c>
      <c r="H231" s="1">
        <v>417.29999999999995</v>
      </c>
      <c r="I231" s="1">
        <v>1099.6000000000001</v>
      </c>
      <c r="J231" s="1">
        <v>142.1</v>
      </c>
    </row>
    <row r="232" spans="1:10" x14ac:dyDescent="0.25">
      <c r="A232" s="1" t="s">
        <v>34</v>
      </c>
      <c r="B232" t="s">
        <v>159</v>
      </c>
      <c r="C232" s="1">
        <v>2019</v>
      </c>
      <c r="D232" s="1" t="s">
        <v>39</v>
      </c>
      <c r="E232" s="1">
        <v>1814.1000000000001</v>
      </c>
      <c r="F232" s="1">
        <v>164.9</v>
      </c>
      <c r="G232" s="1">
        <v>436.40000000000003</v>
      </c>
      <c r="H232" s="1">
        <v>434.40000000000003</v>
      </c>
      <c r="I232" s="1">
        <v>1136.9000000000001</v>
      </c>
      <c r="J232" s="1">
        <v>142.9</v>
      </c>
    </row>
    <row r="233" spans="1:10" x14ac:dyDescent="0.25">
      <c r="A233" s="1" t="s">
        <v>30</v>
      </c>
      <c r="B233" t="s">
        <v>160</v>
      </c>
      <c r="C233" s="1">
        <v>2019</v>
      </c>
      <c r="D233" s="1" t="s">
        <v>40</v>
      </c>
      <c r="E233" s="1">
        <v>1826.8999999999999</v>
      </c>
      <c r="F233" s="1">
        <v>164.5</v>
      </c>
      <c r="G233" s="1">
        <v>449.1</v>
      </c>
      <c r="H233" s="1">
        <v>447.4</v>
      </c>
      <c r="I233" s="1">
        <v>1181.5999999999999</v>
      </c>
      <c r="J233" s="1">
        <v>144.9</v>
      </c>
    </row>
    <row r="234" spans="1:10" x14ac:dyDescent="0.25">
      <c r="A234" s="1" t="s">
        <v>33</v>
      </c>
      <c r="B234" t="s">
        <v>160</v>
      </c>
      <c r="C234" s="1">
        <v>2019</v>
      </c>
      <c r="D234" s="1" t="s">
        <v>40</v>
      </c>
      <c r="E234" s="1">
        <v>1857.3999999999999</v>
      </c>
      <c r="F234" s="1">
        <v>167.2</v>
      </c>
      <c r="G234" s="1">
        <v>419.29999999999995</v>
      </c>
      <c r="H234" s="1">
        <v>415.3</v>
      </c>
      <c r="I234" s="1">
        <v>1107.6000000000001</v>
      </c>
      <c r="J234" s="1">
        <v>143.30000000000001</v>
      </c>
    </row>
    <row r="235" spans="1:10" x14ac:dyDescent="0.25">
      <c r="A235" s="1" t="s">
        <v>34</v>
      </c>
      <c r="B235" t="s">
        <v>160</v>
      </c>
      <c r="C235" s="1">
        <v>2019</v>
      </c>
      <c r="D235" s="1" t="s">
        <v>40</v>
      </c>
      <c r="E235" s="1">
        <v>1837.5</v>
      </c>
      <c r="F235" s="1">
        <v>165.2</v>
      </c>
      <c r="G235" s="1">
        <v>437.00000000000006</v>
      </c>
      <c r="H235" s="1">
        <v>434.09999999999997</v>
      </c>
      <c r="I235" s="1">
        <v>1145.0999999999999</v>
      </c>
      <c r="J235" s="1">
        <v>144.19999999999999</v>
      </c>
    </row>
    <row r="236" spans="1:10" x14ac:dyDescent="0.25">
      <c r="A236" s="1" t="s">
        <v>30</v>
      </c>
      <c r="B236" t="s">
        <v>161</v>
      </c>
      <c r="C236" s="1">
        <v>2019</v>
      </c>
      <c r="D236" s="1" t="s">
        <v>41</v>
      </c>
      <c r="E236" s="1">
        <v>1834.5000000000002</v>
      </c>
      <c r="F236" s="1">
        <v>165.1</v>
      </c>
      <c r="G236" s="1">
        <v>449.49999999999994</v>
      </c>
      <c r="H236" s="1">
        <v>448.2</v>
      </c>
      <c r="I236" s="1">
        <v>1187.9000000000001</v>
      </c>
      <c r="J236" s="1">
        <v>145.69999999999999</v>
      </c>
    </row>
    <row r="237" spans="1:10" x14ac:dyDescent="0.25">
      <c r="A237" s="1" t="s">
        <v>33</v>
      </c>
      <c r="B237" t="s">
        <v>161</v>
      </c>
      <c r="C237" s="1">
        <v>2019</v>
      </c>
      <c r="D237" s="1" t="s">
        <v>41</v>
      </c>
      <c r="E237" s="1">
        <v>1869.1</v>
      </c>
      <c r="F237" s="1">
        <v>167.9</v>
      </c>
      <c r="G237" s="1">
        <v>420.2</v>
      </c>
      <c r="H237" s="1">
        <v>415.20000000000005</v>
      </c>
      <c r="I237" s="1">
        <v>1115.3</v>
      </c>
      <c r="J237" s="1">
        <v>144.19999999999999</v>
      </c>
    </row>
    <row r="238" spans="1:10" x14ac:dyDescent="0.25">
      <c r="A238" s="1" t="s">
        <v>34</v>
      </c>
      <c r="B238" t="s">
        <v>161</v>
      </c>
      <c r="C238" s="1">
        <v>2019</v>
      </c>
      <c r="D238" s="1" t="s">
        <v>41</v>
      </c>
      <c r="E238" s="1">
        <v>1846.5</v>
      </c>
      <c r="F238" s="1">
        <v>165.8</v>
      </c>
      <c r="G238" s="1">
        <v>437.6</v>
      </c>
      <c r="H238" s="1">
        <v>434.6</v>
      </c>
      <c r="I238" s="1">
        <v>1152.0999999999999</v>
      </c>
      <c r="J238" s="1">
        <v>145</v>
      </c>
    </row>
    <row r="239" spans="1:10" x14ac:dyDescent="0.25">
      <c r="A239" s="1" t="s">
        <v>30</v>
      </c>
      <c r="B239" t="s">
        <v>162</v>
      </c>
      <c r="C239" s="1">
        <v>2019</v>
      </c>
      <c r="D239" s="1" t="s">
        <v>42</v>
      </c>
      <c r="E239" s="1">
        <v>1848.7</v>
      </c>
      <c r="F239" s="1">
        <v>165.7</v>
      </c>
      <c r="G239" s="1">
        <v>449.3</v>
      </c>
      <c r="H239" s="1">
        <v>449.40000000000003</v>
      </c>
      <c r="I239" s="1">
        <v>1192.6999999999998</v>
      </c>
      <c r="J239" s="1">
        <v>146.69999999999999</v>
      </c>
    </row>
    <row r="240" spans="1:10" x14ac:dyDescent="0.25">
      <c r="A240" s="1" t="s">
        <v>33</v>
      </c>
      <c r="B240" t="s">
        <v>162</v>
      </c>
      <c r="C240" s="1">
        <v>2019</v>
      </c>
      <c r="D240" s="1" t="s">
        <v>42</v>
      </c>
      <c r="E240" s="1">
        <v>1874.9</v>
      </c>
      <c r="F240" s="1">
        <v>168.6</v>
      </c>
      <c r="G240" s="1">
        <v>420.79999999999995</v>
      </c>
      <c r="H240" s="1">
        <v>417.09999999999997</v>
      </c>
      <c r="I240" s="1">
        <v>1118.8</v>
      </c>
      <c r="J240" s="1">
        <v>144.69999999999999</v>
      </c>
    </row>
    <row r="241" spans="1:10" x14ac:dyDescent="0.25">
      <c r="A241" s="1" t="s">
        <v>34</v>
      </c>
      <c r="B241" t="s">
        <v>162</v>
      </c>
      <c r="C241" s="1">
        <v>2019</v>
      </c>
      <c r="D241" s="1" t="s">
        <v>42</v>
      </c>
      <c r="E241" s="1">
        <v>1857.6999999999998</v>
      </c>
      <c r="F241" s="1">
        <v>166.5</v>
      </c>
      <c r="G241" s="1">
        <v>437.69999999999987</v>
      </c>
      <c r="H241" s="1">
        <v>436</v>
      </c>
      <c r="I241" s="1">
        <v>1156.2</v>
      </c>
      <c r="J241" s="1">
        <v>145.80000000000001</v>
      </c>
    </row>
    <row r="242" spans="1:10" x14ac:dyDescent="0.25">
      <c r="A242" s="1" t="s">
        <v>30</v>
      </c>
      <c r="B242" t="s">
        <v>163</v>
      </c>
      <c r="C242" s="1">
        <v>2019</v>
      </c>
      <c r="D242" s="1" t="s">
        <v>43</v>
      </c>
      <c r="E242" s="1">
        <v>1876.8999999999996</v>
      </c>
      <c r="F242" s="1">
        <v>166.3</v>
      </c>
      <c r="G242" s="1">
        <v>449.40000000000003</v>
      </c>
      <c r="H242" s="1">
        <v>451.29999999999995</v>
      </c>
      <c r="I242" s="1">
        <v>1195.1999999999998</v>
      </c>
      <c r="J242" s="1">
        <v>148.30000000000001</v>
      </c>
    </row>
    <row r="243" spans="1:10" x14ac:dyDescent="0.25">
      <c r="A243" s="1" t="s">
        <v>33</v>
      </c>
      <c r="B243" t="s">
        <v>163</v>
      </c>
      <c r="C243" s="1">
        <v>2019</v>
      </c>
      <c r="D243" s="1" t="s">
        <v>43</v>
      </c>
      <c r="E243" s="1">
        <v>1902.6000000000001</v>
      </c>
      <c r="F243" s="1">
        <v>169.3</v>
      </c>
      <c r="G243" s="1">
        <v>422.20000000000005</v>
      </c>
      <c r="H243" s="1">
        <v>420.59999999999997</v>
      </c>
      <c r="I243" s="1">
        <v>1121.4000000000001</v>
      </c>
      <c r="J243" s="1">
        <v>146</v>
      </c>
    </row>
    <row r="244" spans="1:10" x14ac:dyDescent="0.25">
      <c r="A244" s="1" t="s">
        <v>34</v>
      </c>
      <c r="B244" t="s">
        <v>163</v>
      </c>
      <c r="C244" s="1">
        <v>2019</v>
      </c>
      <c r="D244" s="1" t="s">
        <v>43</v>
      </c>
      <c r="E244" s="1">
        <v>1885.5999999999997</v>
      </c>
      <c r="F244" s="1">
        <v>167.1</v>
      </c>
      <c r="G244" s="1">
        <v>438.40000000000009</v>
      </c>
      <c r="H244" s="1">
        <v>438.6</v>
      </c>
      <c r="I244" s="1">
        <v>1158.5999999999999</v>
      </c>
      <c r="J244" s="1">
        <v>147.19999999999999</v>
      </c>
    </row>
    <row r="245" spans="1:10" x14ac:dyDescent="0.25">
      <c r="A245" s="1" t="s">
        <v>30</v>
      </c>
      <c r="B245" t="s">
        <v>164</v>
      </c>
      <c r="C245" s="1">
        <v>2019</v>
      </c>
      <c r="D245" s="1" t="s">
        <v>44</v>
      </c>
      <c r="E245" s="1">
        <v>1904.6000000000001</v>
      </c>
      <c r="F245" s="1">
        <v>167.2</v>
      </c>
      <c r="G245" s="1">
        <v>450.79999999999995</v>
      </c>
      <c r="H245" s="1">
        <v>452.79999999999995</v>
      </c>
      <c r="I245" s="1">
        <v>1198.1000000000001</v>
      </c>
      <c r="J245" s="1">
        <v>149.9</v>
      </c>
    </row>
    <row r="246" spans="1:10" x14ac:dyDescent="0.25">
      <c r="A246" s="1" t="s">
        <v>33</v>
      </c>
      <c r="B246" t="s">
        <v>164</v>
      </c>
      <c r="C246" s="1">
        <v>2019</v>
      </c>
      <c r="D246" s="1" t="s">
        <v>44</v>
      </c>
      <c r="E246" s="1">
        <v>1923.9999999999998</v>
      </c>
      <c r="F246" s="1">
        <v>169.9</v>
      </c>
      <c r="G246" s="1">
        <v>423.09999999999997</v>
      </c>
      <c r="H246" s="1">
        <v>424.79999999999995</v>
      </c>
      <c r="I246" s="1">
        <v>1123.6999999999998</v>
      </c>
      <c r="J246" s="1">
        <v>147</v>
      </c>
    </row>
    <row r="247" spans="1:10" x14ac:dyDescent="0.25">
      <c r="A247" s="1" t="s">
        <v>34</v>
      </c>
      <c r="B247" t="s">
        <v>164</v>
      </c>
      <c r="C247" s="1">
        <v>2019</v>
      </c>
      <c r="D247" s="1" t="s">
        <v>44</v>
      </c>
      <c r="E247" s="1">
        <v>1910.9</v>
      </c>
      <c r="F247" s="1">
        <v>167.9</v>
      </c>
      <c r="G247" s="1">
        <v>439.49999999999994</v>
      </c>
      <c r="H247" s="1">
        <v>441.1</v>
      </c>
      <c r="I247" s="1">
        <v>1161.0999999999999</v>
      </c>
      <c r="J247" s="1">
        <v>148.6</v>
      </c>
    </row>
    <row r="248" spans="1:10" x14ac:dyDescent="0.25">
      <c r="A248" s="1" t="s">
        <v>30</v>
      </c>
      <c r="B248" t="s">
        <v>165</v>
      </c>
      <c r="C248" s="1">
        <v>2019</v>
      </c>
      <c r="D248" s="1" t="s">
        <v>45</v>
      </c>
      <c r="E248" s="1">
        <v>1940.9999999999995</v>
      </c>
      <c r="F248" s="1">
        <v>167.8</v>
      </c>
      <c r="G248" s="1">
        <v>451.79999999999995</v>
      </c>
      <c r="H248" s="1">
        <v>453.90000000000003</v>
      </c>
      <c r="I248" s="1">
        <v>1204</v>
      </c>
      <c r="J248" s="1">
        <v>152.30000000000001</v>
      </c>
    </row>
    <row r="249" spans="1:10" x14ac:dyDescent="0.25">
      <c r="A249" s="1" t="s">
        <v>33</v>
      </c>
      <c r="B249" t="s">
        <v>165</v>
      </c>
      <c r="C249" s="1">
        <v>2019</v>
      </c>
      <c r="D249" s="1" t="s">
        <v>45</v>
      </c>
      <c r="E249" s="1">
        <v>1956.7</v>
      </c>
      <c r="F249" s="1">
        <v>170.4</v>
      </c>
      <c r="G249" s="1">
        <v>424.2000000000001</v>
      </c>
      <c r="H249" s="1">
        <v>426.2</v>
      </c>
      <c r="I249" s="1">
        <v>1130.0999999999999</v>
      </c>
      <c r="J249" s="1">
        <v>148.30000000000001</v>
      </c>
    </row>
    <row r="250" spans="1:10" x14ac:dyDescent="0.25">
      <c r="A250" s="1" t="s">
        <v>34</v>
      </c>
      <c r="B250" t="s">
        <v>165</v>
      </c>
      <c r="C250" s="1">
        <v>2019</v>
      </c>
      <c r="D250" s="1" t="s">
        <v>45</v>
      </c>
      <c r="E250" s="1">
        <v>1946.1000000000001</v>
      </c>
      <c r="F250" s="1">
        <v>168.5</v>
      </c>
      <c r="G250" s="1">
        <v>440.6</v>
      </c>
      <c r="H250" s="1">
        <v>442.3</v>
      </c>
      <c r="I250" s="1">
        <v>1167.2</v>
      </c>
      <c r="J250" s="1">
        <v>150.4</v>
      </c>
    </row>
    <row r="251" spans="1:10" x14ac:dyDescent="0.25">
      <c r="A251" s="1" t="s">
        <v>30</v>
      </c>
      <c r="B251" t="s">
        <v>166</v>
      </c>
      <c r="C251" s="1">
        <v>2020</v>
      </c>
      <c r="D251" s="1" t="s">
        <v>31</v>
      </c>
      <c r="E251" s="1">
        <v>1938.6</v>
      </c>
      <c r="F251" s="1">
        <v>168.6</v>
      </c>
      <c r="G251" s="1">
        <v>452.30000000000007</v>
      </c>
      <c r="H251" s="1">
        <v>456</v>
      </c>
      <c r="I251" s="1">
        <v>1211.8</v>
      </c>
      <c r="J251" s="1">
        <v>151.9</v>
      </c>
    </row>
    <row r="252" spans="1:10" x14ac:dyDescent="0.25">
      <c r="A252" s="1" t="s">
        <v>33</v>
      </c>
      <c r="B252" t="s">
        <v>166</v>
      </c>
      <c r="C252" s="1">
        <v>2020</v>
      </c>
      <c r="D252" s="1" t="s">
        <v>31</v>
      </c>
      <c r="E252" s="1">
        <v>1945.3999999999999</v>
      </c>
      <c r="F252" s="1">
        <v>170.8</v>
      </c>
      <c r="G252" s="1">
        <v>425.1</v>
      </c>
      <c r="H252" s="1">
        <v>429.1</v>
      </c>
      <c r="I252" s="1">
        <v>1135.5999999999999</v>
      </c>
      <c r="J252" s="1">
        <v>148.19999999999999</v>
      </c>
    </row>
    <row r="253" spans="1:10" x14ac:dyDescent="0.25">
      <c r="A253" s="1" t="s">
        <v>34</v>
      </c>
      <c r="B253" t="s">
        <v>166</v>
      </c>
      <c r="C253" s="1">
        <v>2020</v>
      </c>
      <c r="D253" s="1" t="s">
        <v>31</v>
      </c>
      <c r="E253" s="1">
        <v>1940.3999999999999</v>
      </c>
      <c r="F253" s="1">
        <v>169.2</v>
      </c>
      <c r="G253" s="1">
        <v>441.2</v>
      </c>
      <c r="H253" s="1">
        <v>444.7</v>
      </c>
      <c r="I253" s="1">
        <v>1174</v>
      </c>
      <c r="J253" s="1">
        <v>150.19999999999999</v>
      </c>
    </row>
    <row r="254" spans="1:10" x14ac:dyDescent="0.25">
      <c r="A254" s="1" t="s">
        <v>30</v>
      </c>
      <c r="B254" t="s">
        <v>167</v>
      </c>
      <c r="C254" s="1">
        <v>2020</v>
      </c>
      <c r="D254" s="1" t="s">
        <v>35</v>
      </c>
      <c r="E254" s="1">
        <v>1909.7999999999997</v>
      </c>
      <c r="F254" s="1">
        <v>169.4</v>
      </c>
      <c r="G254" s="1">
        <v>452.80000000000007</v>
      </c>
      <c r="H254" s="1">
        <v>458.90000000000003</v>
      </c>
      <c r="I254" s="1">
        <v>1214.4000000000001</v>
      </c>
      <c r="J254" s="1">
        <v>150.4</v>
      </c>
    </row>
    <row r="255" spans="1:10" x14ac:dyDescent="0.25">
      <c r="A255" s="1" t="s">
        <v>33</v>
      </c>
      <c r="B255" t="s">
        <v>167</v>
      </c>
      <c r="C255" s="1">
        <v>2020</v>
      </c>
      <c r="D255" s="1" t="s">
        <v>35</v>
      </c>
      <c r="E255" s="1">
        <v>1916.6</v>
      </c>
      <c r="F255" s="1">
        <v>172</v>
      </c>
      <c r="G255" s="1">
        <v>426</v>
      </c>
      <c r="H255" s="1">
        <v>434.1</v>
      </c>
      <c r="I255" s="1">
        <v>1138</v>
      </c>
      <c r="J255" s="1">
        <v>147.69999999999999</v>
      </c>
    </row>
    <row r="256" spans="1:10" x14ac:dyDescent="0.25">
      <c r="A256" s="1" t="s">
        <v>34</v>
      </c>
      <c r="B256" t="s">
        <v>167</v>
      </c>
      <c r="C256" s="1">
        <v>2020</v>
      </c>
      <c r="D256" s="1" t="s">
        <v>35</v>
      </c>
      <c r="E256" s="1">
        <v>1911.6</v>
      </c>
      <c r="F256" s="1">
        <v>170.1</v>
      </c>
      <c r="G256" s="1">
        <v>442</v>
      </c>
      <c r="H256" s="1">
        <v>448.4</v>
      </c>
      <c r="I256" s="1">
        <v>1176.3</v>
      </c>
      <c r="J256" s="1">
        <v>149.1</v>
      </c>
    </row>
    <row r="257" spans="1:10" x14ac:dyDescent="0.25">
      <c r="A257" s="1" t="s">
        <v>30</v>
      </c>
      <c r="B257" t="s">
        <v>168</v>
      </c>
      <c r="C257" s="1">
        <v>2020</v>
      </c>
      <c r="D257" s="1" t="s">
        <v>36</v>
      </c>
      <c r="E257" s="1">
        <v>1894.5999999999997</v>
      </c>
      <c r="F257" s="1">
        <v>170.5</v>
      </c>
      <c r="G257" s="1">
        <v>453.5</v>
      </c>
      <c r="H257" s="1">
        <v>459.4</v>
      </c>
      <c r="I257" s="1">
        <v>1216.5</v>
      </c>
      <c r="J257" s="1">
        <v>149.80000000000001</v>
      </c>
    </row>
    <row r="258" spans="1:10" x14ac:dyDescent="0.25">
      <c r="A258" s="1" t="s">
        <v>33</v>
      </c>
      <c r="B258" t="s">
        <v>168</v>
      </c>
      <c r="C258" s="1">
        <v>2020</v>
      </c>
      <c r="D258" s="1" t="s">
        <v>36</v>
      </c>
      <c r="E258" s="1">
        <v>1898.5</v>
      </c>
      <c r="F258" s="1">
        <v>173.3</v>
      </c>
      <c r="G258" s="1">
        <v>427.10000000000008</v>
      </c>
      <c r="H258" s="1">
        <v>436.7</v>
      </c>
      <c r="I258" s="1">
        <v>1141.5</v>
      </c>
      <c r="J258" s="1">
        <v>147.30000000000001</v>
      </c>
    </row>
    <row r="259" spans="1:10" x14ac:dyDescent="0.25">
      <c r="A259" s="1" t="s">
        <v>34</v>
      </c>
      <c r="B259" t="s">
        <v>168</v>
      </c>
      <c r="C259" s="1">
        <v>2020</v>
      </c>
      <c r="D259" s="1" t="s">
        <v>36</v>
      </c>
      <c r="E259" s="1">
        <v>1895.4</v>
      </c>
      <c r="F259" s="1">
        <v>171.2</v>
      </c>
      <c r="G259" s="1">
        <v>442.90000000000003</v>
      </c>
      <c r="H259" s="1">
        <v>449.79999999999995</v>
      </c>
      <c r="I259" s="1">
        <v>1179.4000000000001</v>
      </c>
      <c r="J259" s="1">
        <v>148.6</v>
      </c>
    </row>
    <row r="260" spans="1:10" x14ac:dyDescent="0.25">
      <c r="A260" s="1" t="s">
        <v>30</v>
      </c>
      <c r="B260" t="s">
        <v>169</v>
      </c>
      <c r="C260" s="1">
        <v>2020</v>
      </c>
      <c r="D260" s="1" t="s">
        <v>37</v>
      </c>
      <c r="E260" s="1">
        <v>1954.2500000000002</v>
      </c>
      <c r="F260" s="14">
        <v>176.45</v>
      </c>
      <c r="G260" s="1">
        <v>456.15</v>
      </c>
      <c r="H260" s="1">
        <v>455.6</v>
      </c>
      <c r="I260" s="1">
        <v>1220.7</v>
      </c>
      <c r="J260" s="14">
        <v>151.25</v>
      </c>
    </row>
    <row r="261" spans="1:10" x14ac:dyDescent="0.25">
      <c r="A261" s="1" t="s">
        <v>33</v>
      </c>
      <c r="B261" t="s">
        <v>169</v>
      </c>
      <c r="C261" s="1">
        <v>2020</v>
      </c>
      <c r="D261" s="1" t="s">
        <v>37</v>
      </c>
      <c r="E261" s="1">
        <v>1979.35</v>
      </c>
      <c r="F261" s="14">
        <v>180</v>
      </c>
      <c r="G261" s="1">
        <v>430</v>
      </c>
      <c r="H261" s="1">
        <v>444.29999999999995</v>
      </c>
      <c r="I261" s="1">
        <v>1151.8500000000001</v>
      </c>
      <c r="J261" s="14">
        <v>149.05000000000001</v>
      </c>
    </row>
    <row r="262" spans="1:10" x14ac:dyDescent="0.25">
      <c r="A262" s="1" t="s">
        <v>34</v>
      </c>
      <c r="B262" t="s">
        <v>169</v>
      </c>
      <c r="C262" s="1">
        <v>2020</v>
      </c>
      <c r="D262" s="1" t="s">
        <v>37</v>
      </c>
      <c r="E262" s="1">
        <v>1961.65</v>
      </c>
      <c r="F262" s="14">
        <v>180</v>
      </c>
      <c r="G262" s="1">
        <v>430</v>
      </c>
      <c r="H262" s="1">
        <v>451.29999999999995</v>
      </c>
      <c r="I262" s="1">
        <v>1163.6499999999999</v>
      </c>
      <c r="J262" s="14">
        <v>149.05000000000001</v>
      </c>
    </row>
    <row r="263" spans="1:10" x14ac:dyDescent="0.25">
      <c r="A263" s="1" t="s">
        <v>30</v>
      </c>
      <c r="B263" t="s">
        <v>170</v>
      </c>
      <c r="C263" s="1">
        <v>2020</v>
      </c>
      <c r="D263" s="1" t="s">
        <v>38</v>
      </c>
      <c r="E263" s="1">
        <v>2249.1499999999996</v>
      </c>
      <c r="F263" s="14">
        <v>180</v>
      </c>
      <c r="G263" s="1">
        <v>430</v>
      </c>
      <c r="H263" s="1">
        <v>453.4</v>
      </c>
      <c r="I263" s="1">
        <v>1174.75</v>
      </c>
      <c r="J263" s="14">
        <v>149.05000000000001</v>
      </c>
    </row>
    <row r="264" spans="1:10" x14ac:dyDescent="0.25">
      <c r="A264" s="1" t="s">
        <v>33</v>
      </c>
      <c r="B264" t="s">
        <v>170</v>
      </c>
      <c r="C264" s="1">
        <v>2020</v>
      </c>
      <c r="D264" s="1" t="s">
        <v>38</v>
      </c>
      <c r="E264" s="1">
        <v>2277.4</v>
      </c>
      <c r="F264" s="14">
        <v>180</v>
      </c>
      <c r="G264" s="1">
        <v>430</v>
      </c>
      <c r="H264" s="1">
        <v>438.25</v>
      </c>
      <c r="I264" s="1">
        <v>1155.1499999999999</v>
      </c>
      <c r="J264" s="14">
        <v>149.05000000000001</v>
      </c>
    </row>
    <row r="265" spans="1:10" x14ac:dyDescent="0.25">
      <c r="A265" s="1" t="s">
        <v>34</v>
      </c>
      <c r="B265" t="s">
        <v>170</v>
      </c>
      <c r="C265" s="1">
        <v>2020</v>
      </c>
      <c r="D265" s="1" t="s">
        <v>38</v>
      </c>
      <c r="E265" s="1">
        <v>2265.6249999999995</v>
      </c>
      <c r="F265" s="14">
        <v>181.75</v>
      </c>
      <c r="G265" s="1">
        <v>439.15000000000003</v>
      </c>
      <c r="H265" s="1">
        <v>447.15</v>
      </c>
      <c r="I265" s="1">
        <v>1183.575</v>
      </c>
      <c r="J265" s="14">
        <v>150.42500000000001</v>
      </c>
    </row>
    <row r="266" spans="1:10" x14ac:dyDescent="0.25">
      <c r="A266" s="1" t="s">
        <v>30</v>
      </c>
      <c r="B266" t="s">
        <v>171</v>
      </c>
      <c r="C266" s="1">
        <v>2020</v>
      </c>
      <c r="D266" s="1" t="s">
        <v>39</v>
      </c>
      <c r="E266" s="1">
        <v>1951</v>
      </c>
      <c r="F266" s="1">
        <v>182.4</v>
      </c>
      <c r="G266" s="1">
        <v>458.8</v>
      </c>
      <c r="H266" s="1">
        <v>451.3</v>
      </c>
      <c r="I266" s="1">
        <v>1237.5</v>
      </c>
      <c r="J266" s="1">
        <v>152.69999999999999</v>
      </c>
    </row>
    <row r="267" spans="1:10" x14ac:dyDescent="0.25">
      <c r="A267" s="1" t="s">
        <v>33</v>
      </c>
      <c r="B267" t="s">
        <v>171</v>
      </c>
      <c r="C267" s="1">
        <v>2020</v>
      </c>
      <c r="D267" s="1" t="s">
        <v>39</v>
      </c>
      <c r="E267" s="1">
        <v>1994.9999999999998</v>
      </c>
      <c r="F267" s="1">
        <v>186.7</v>
      </c>
      <c r="G267" s="1">
        <v>432.89999999999992</v>
      </c>
      <c r="H267" s="1">
        <v>432.19999999999993</v>
      </c>
      <c r="I267" s="1">
        <v>1169.2000000000003</v>
      </c>
      <c r="J267" s="1">
        <v>150.80000000000001</v>
      </c>
    </row>
    <row r="268" spans="1:10" x14ac:dyDescent="0.25">
      <c r="A268" s="1" t="s">
        <v>34</v>
      </c>
      <c r="B268" t="s">
        <v>171</v>
      </c>
      <c r="C268" s="1">
        <v>2020</v>
      </c>
      <c r="D268" s="1" t="s">
        <v>39</v>
      </c>
      <c r="E268" s="1">
        <v>1966.8000000000002</v>
      </c>
      <c r="F268" s="1">
        <v>183.5</v>
      </c>
      <c r="G268" s="1">
        <v>448.29999999999995</v>
      </c>
      <c r="H268" s="1">
        <v>443</v>
      </c>
      <c r="I268" s="1">
        <v>1203.5</v>
      </c>
      <c r="J268" s="1">
        <v>151.80000000000001</v>
      </c>
    </row>
    <row r="269" spans="1:10" x14ac:dyDescent="0.25">
      <c r="A269" s="1" t="s">
        <v>30</v>
      </c>
      <c r="B269" t="s">
        <v>172</v>
      </c>
      <c r="C269" s="1">
        <v>2020</v>
      </c>
      <c r="D269" s="1" t="s">
        <v>40</v>
      </c>
      <c r="E269" s="1">
        <v>1951</v>
      </c>
      <c r="F269" s="1">
        <v>182.4</v>
      </c>
      <c r="G269" s="1">
        <v>458.8</v>
      </c>
      <c r="H269" s="1">
        <v>451.3</v>
      </c>
      <c r="I269" s="1">
        <v>1237.5</v>
      </c>
      <c r="J269" s="1">
        <v>152.69999999999999</v>
      </c>
    </row>
    <row r="270" spans="1:10" x14ac:dyDescent="0.25">
      <c r="A270" s="1" t="s">
        <v>33</v>
      </c>
      <c r="B270" t="s">
        <v>172</v>
      </c>
      <c r="C270" s="1">
        <v>2020</v>
      </c>
      <c r="D270" s="1" t="s">
        <v>40</v>
      </c>
      <c r="E270" s="1">
        <v>1994.9999999999998</v>
      </c>
      <c r="F270" s="1">
        <v>186.7</v>
      </c>
      <c r="G270" s="1">
        <v>432.89999999999992</v>
      </c>
      <c r="H270" s="1">
        <v>432.19999999999993</v>
      </c>
      <c r="I270" s="1">
        <v>1169.2000000000003</v>
      </c>
      <c r="J270" s="1">
        <v>150.80000000000001</v>
      </c>
    </row>
    <row r="271" spans="1:10" x14ac:dyDescent="0.25">
      <c r="A271" s="1" t="s">
        <v>34</v>
      </c>
      <c r="B271" t="s">
        <v>172</v>
      </c>
      <c r="C271" s="1">
        <v>2020</v>
      </c>
      <c r="D271" s="1" t="s">
        <v>40</v>
      </c>
      <c r="E271" s="1">
        <v>1966.8000000000002</v>
      </c>
      <c r="F271" s="1">
        <v>183.5</v>
      </c>
      <c r="G271" s="1">
        <v>448.29999999999995</v>
      </c>
      <c r="H271" s="1">
        <v>443</v>
      </c>
      <c r="I271" s="1">
        <v>1203.5</v>
      </c>
      <c r="J271" s="1">
        <v>151.80000000000001</v>
      </c>
    </row>
    <row r="272" spans="1:10" x14ac:dyDescent="0.25">
      <c r="A272" s="1" t="s">
        <v>30</v>
      </c>
      <c r="B272" t="s">
        <v>173</v>
      </c>
      <c r="C272" s="1">
        <v>2020</v>
      </c>
      <c r="D272" s="1" t="s">
        <v>41</v>
      </c>
      <c r="E272" s="1">
        <v>1978.6</v>
      </c>
      <c r="F272" s="1">
        <v>180.9</v>
      </c>
      <c r="G272" s="1">
        <v>458.69999999999993</v>
      </c>
      <c r="H272" s="1">
        <v>453.20000000000005</v>
      </c>
      <c r="I272" s="1">
        <v>1245.4000000000001</v>
      </c>
      <c r="J272" s="1">
        <v>154.69999999999999</v>
      </c>
    </row>
    <row r="273" spans="1:10" x14ac:dyDescent="0.25">
      <c r="A273" s="1" t="s">
        <v>33</v>
      </c>
      <c r="B273" t="s">
        <v>173</v>
      </c>
      <c r="C273" s="1">
        <v>2020</v>
      </c>
      <c r="D273" s="1" t="s">
        <v>41</v>
      </c>
      <c r="E273" s="1">
        <v>2024.8999999999999</v>
      </c>
      <c r="F273" s="1">
        <v>187.2</v>
      </c>
      <c r="G273" s="1">
        <v>433.00000000000006</v>
      </c>
      <c r="H273" s="1">
        <v>438.3</v>
      </c>
      <c r="I273" s="1">
        <v>1183.5</v>
      </c>
      <c r="J273" s="1">
        <v>152.9</v>
      </c>
    </row>
    <row r="274" spans="1:10" x14ac:dyDescent="0.25">
      <c r="A274" s="1" t="s">
        <v>34</v>
      </c>
      <c r="B274" t="s">
        <v>173</v>
      </c>
      <c r="C274" s="1">
        <v>2020</v>
      </c>
      <c r="D274" s="1" t="s">
        <v>41</v>
      </c>
      <c r="E274" s="1">
        <v>1995.1999999999998</v>
      </c>
      <c r="F274" s="1">
        <v>182.6</v>
      </c>
      <c r="G274" s="1">
        <v>448.2</v>
      </c>
      <c r="H274" s="1">
        <v>446.9</v>
      </c>
      <c r="I274" s="1">
        <v>1214.8</v>
      </c>
      <c r="J274" s="1">
        <v>153.9</v>
      </c>
    </row>
    <row r="275" spans="1:10" x14ac:dyDescent="0.25">
      <c r="A275" s="1" t="s">
        <v>30</v>
      </c>
      <c r="B275" t="s">
        <v>174</v>
      </c>
      <c r="C275" s="1">
        <v>2020</v>
      </c>
      <c r="D275" s="1" t="s">
        <v>42</v>
      </c>
      <c r="E275" s="1">
        <v>1987.3999999999999</v>
      </c>
      <c r="F275" s="1">
        <v>182.9</v>
      </c>
      <c r="G275" s="1">
        <v>459.9</v>
      </c>
      <c r="H275" s="1">
        <v>454.30000000000007</v>
      </c>
      <c r="I275" s="1">
        <v>1248.8999999999999</v>
      </c>
      <c r="J275" s="1">
        <v>155.4</v>
      </c>
    </row>
    <row r="276" spans="1:10" x14ac:dyDescent="0.25">
      <c r="A276" s="1" t="s">
        <v>33</v>
      </c>
      <c r="B276" t="s">
        <v>174</v>
      </c>
      <c r="C276" s="1">
        <v>2020</v>
      </c>
      <c r="D276" s="1" t="s">
        <v>42</v>
      </c>
      <c r="E276" s="1">
        <v>2041.6000000000001</v>
      </c>
      <c r="F276" s="1">
        <v>188.7</v>
      </c>
      <c r="G276" s="1">
        <v>434.60000000000008</v>
      </c>
      <c r="H276" s="1">
        <v>438.9</v>
      </c>
      <c r="I276" s="1">
        <v>1192.5</v>
      </c>
      <c r="J276" s="1">
        <v>154</v>
      </c>
    </row>
    <row r="277" spans="1:10" x14ac:dyDescent="0.25">
      <c r="A277" s="1" t="s">
        <v>34</v>
      </c>
      <c r="B277" t="s">
        <v>174</v>
      </c>
      <c r="C277" s="1">
        <v>2020</v>
      </c>
      <c r="D277" s="1" t="s">
        <v>42</v>
      </c>
      <c r="E277" s="1">
        <v>2007</v>
      </c>
      <c r="F277" s="1">
        <v>184.4</v>
      </c>
      <c r="G277" s="1">
        <v>449.70000000000005</v>
      </c>
      <c r="H277" s="1">
        <v>447.90000000000003</v>
      </c>
      <c r="I277" s="1">
        <v>1220.8000000000002</v>
      </c>
      <c r="J277" s="1">
        <v>154.69999999999999</v>
      </c>
    </row>
    <row r="278" spans="1:10" x14ac:dyDescent="0.25">
      <c r="A278" s="1" t="s">
        <v>30</v>
      </c>
      <c r="B278" t="s">
        <v>175</v>
      </c>
      <c r="C278" s="1">
        <v>2020</v>
      </c>
      <c r="D278" s="1" t="s">
        <v>43</v>
      </c>
      <c r="E278" s="1">
        <v>2030.9</v>
      </c>
      <c r="F278" s="1">
        <v>182.7</v>
      </c>
      <c r="G278" s="1">
        <v>461.3</v>
      </c>
      <c r="H278" s="1">
        <v>455.3</v>
      </c>
      <c r="I278" s="1">
        <v>1253.3</v>
      </c>
      <c r="J278" s="1">
        <v>157.5</v>
      </c>
    </row>
    <row r="279" spans="1:10" x14ac:dyDescent="0.25">
      <c r="A279" s="1" t="s">
        <v>33</v>
      </c>
      <c r="B279" t="s">
        <v>175</v>
      </c>
      <c r="C279" s="1">
        <v>2020</v>
      </c>
      <c r="D279" s="1" t="s">
        <v>43</v>
      </c>
      <c r="E279" s="1">
        <v>2080.1999999999998</v>
      </c>
      <c r="F279" s="1">
        <v>188.7</v>
      </c>
      <c r="G279" s="1">
        <v>434.9</v>
      </c>
      <c r="H279" s="1">
        <v>438.70000000000005</v>
      </c>
      <c r="I279" s="1">
        <v>1195.0999999999999</v>
      </c>
      <c r="J279" s="1">
        <v>155.19999999999999</v>
      </c>
    </row>
    <row r="280" spans="1:10" x14ac:dyDescent="0.25">
      <c r="A280" s="1" t="s">
        <v>34</v>
      </c>
      <c r="B280" t="s">
        <v>175</v>
      </c>
      <c r="C280" s="1">
        <v>2020</v>
      </c>
      <c r="D280" s="1" t="s">
        <v>43</v>
      </c>
      <c r="E280" s="1">
        <v>2048.6000000000004</v>
      </c>
      <c r="F280" s="1">
        <v>184.3</v>
      </c>
      <c r="G280" s="1">
        <v>450.59999999999991</v>
      </c>
      <c r="H280" s="1">
        <v>448.3</v>
      </c>
      <c r="I280" s="1">
        <v>1224.0999999999999</v>
      </c>
      <c r="J280" s="1">
        <v>156.4</v>
      </c>
    </row>
    <row r="281" spans="1:10" x14ac:dyDescent="0.25">
      <c r="A281" s="1" t="s">
        <v>30</v>
      </c>
      <c r="B281" t="s">
        <v>176</v>
      </c>
      <c r="C281" s="1">
        <v>2020</v>
      </c>
      <c r="D281" s="1" t="s">
        <v>44</v>
      </c>
      <c r="E281" s="1">
        <v>2082.4</v>
      </c>
      <c r="F281" s="1">
        <v>183.4</v>
      </c>
      <c r="G281" s="1">
        <v>462.8</v>
      </c>
      <c r="H281" s="1">
        <v>458.3</v>
      </c>
      <c r="I281" s="1">
        <v>1254.4000000000001</v>
      </c>
      <c r="J281" s="1">
        <v>159.80000000000001</v>
      </c>
    </row>
    <row r="282" spans="1:10" x14ac:dyDescent="0.25">
      <c r="A282" s="1" t="s">
        <v>33</v>
      </c>
      <c r="B282" t="s">
        <v>176</v>
      </c>
      <c r="C282" s="1">
        <v>2020</v>
      </c>
      <c r="D282" s="1" t="s">
        <v>44</v>
      </c>
      <c r="E282" s="1">
        <v>2120.6999999999998</v>
      </c>
      <c r="F282" s="1">
        <v>188.8</v>
      </c>
      <c r="G282" s="1">
        <v>436.30000000000007</v>
      </c>
      <c r="H282" s="1">
        <v>440.4</v>
      </c>
      <c r="I282" s="1">
        <v>1200.9000000000001</v>
      </c>
      <c r="J282" s="1">
        <v>156.69999999999999</v>
      </c>
    </row>
    <row r="283" spans="1:10" x14ac:dyDescent="0.25">
      <c r="A283" s="1" t="s">
        <v>34</v>
      </c>
      <c r="B283" t="s">
        <v>176</v>
      </c>
      <c r="C283" s="1">
        <v>2020</v>
      </c>
      <c r="D283" s="1" t="s">
        <v>44</v>
      </c>
      <c r="E283" s="1">
        <v>2095.6</v>
      </c>
      <c r="F283" s="1">
        <v>184.8</v>
      </c>
      <c r="G283" s="1">
        <v>452.00000000000011</v>
      </c>
      <c r="H283" s="1">
        <v>450.8</v>
      </c>
      <c r="I283" s="1">
        <v>1228</v>
      </c>
      <c r="J283" s="1">
        <v>158.4</v>
      </c>
    </row>
    <row r="284" spans="1:10" x14ac:dyDescent="0.25">
      <c r="A284" s="1" t="s">
        <v>30</v>
      </c>
      <c r="B284" t="s">
        <v>177</v>
      </c>
      <c r="C284" s="1">
        <v>2020</v>
      </c>
      <c r="D284" s="1" t="s">
        <v>45</v>
      </c>
      <c r="E284" s="1">
        <v>2100.5</v>
      </c>
      <c r="F284" s="1">
        <v>183.6</v>
      </c>
      <c r="G284" s="1">
        <v>464.9</v>
      </c>
      <c r="H284" s="1">
        <v>460.5</v>
      </c>
      <c r="I284" s="1">
        <v>1261.0999999999999</v>
      </c>
      <c r="J284" s="1">
        <v>160.69999999999999</v>
      </c>
    </row>
    <row r="285" spans="1:10" x14ac:dyDescent="0.25">
      <c r="A285" s="1" t="s">
        <v>33</v>
      </c>
      <c r="B285" t="s">
        <v>177</v>
      </c>
      <c r="C285" s="1">
        <v>2020</v>
      </c>
      <c r="D285" s="1" t="s">
        <v>45</v>
      </c>
      <c r="E285" s="1">
        <v>2125.4</v>
      </c>
      <c r="F285" s="1">
        <v>190.2</v>
      </c>
      <c r="G285" s="1">
        <v>438.20000000000005</v>
      </c>
      <c r="H285" s="1">
        <v>441.8</v>
      </c>
      <c r="I285" s="1">
        <v>1204.2</v>
      </c>
      <c r="J285" s="1">
        <v>156.9</v>
      </c>
    </row>
    <row r="286" spans="1:10" x14ac:dyDescent="0.25">
      <c r="A286" s="1" t="s">
        <v>34</v>
      </c>
      <c r="B286" t="s">
        <v>177</v>
      </c>
      <c r="C286" s="1">
        <v>2020</v>
      </c>
      <c r="D286" s="1" t="s">
        <v>45</v>
      </c>
      <c r="E286" s="1">
        <v>2109.1</v>
      </c>
      <c r="F286" s="1">
        <v>185.4</v>
      </c>
      <c r="G286" s="1">
        <v>454</v>
      </c>
      <c r="H286" s="1">
        <v>452.7</v>
      </c>
      <c r="I286" s="1">
        <v>1232.9000000000001</v>
      </c>
      <c r="J286" s="1">
        <v>158.9</v>
      </c>
    </row>
    <row r="287" spans="1:10" x14ac:dyDescent="0.25">
      <c r="A287" s="1" t="s">
        <v>30</v>
      </c>
      <c r="B287" t="s">
        <v>178</v>
      </c>
      <c r="C287" s="1">
        <v>2021</v>
      </c>
      <c r="D287" s="1" t="s">
        <v>31</v>
      </c>
      <c r="E287" s="1">
        <v>2065.6999999999998</v>
      </c>
      <c r="F287" s="1">
        <v>184.6</v>
      </c>
      <c r="G287" s="1">
        <v>466.7</v>
      </c>
      <c r="H287" s="1">
        <v>462.5</v>
      </c>
      <c r="I287" s="1">
        <v>1266.7</v>
      </c>
      <c r="J287" s="1">
        <v>158.5</v>
      </c>
    </row>
    <row r="288" spans="1:10" x14ac:dyDescent="0.25">
      <c r="A288" s="1" t="s">
        <v>33</v>
      </c>
      <c r="B288" t="s">
        <v>178</v>
      </c>
      <c r="C288" s="1">
        <v>2021</v>
      </c>
      <c r="D288" s="1" t="s">
        <v>31</v>
      </c>
      <c r="E288" s="1">
        <v>2097</v>
      </c>
      <c r="F288" s="1">
        <v>191.8</v>
      </c>
      <c r="G288" s="1">
        <v>440.00000000000006</v>
      </c>
      <c r="H288" s="1">
        <v>446.3</v>
      </c>
      <c r="I288" s="1">
        <v>1208</v>
      </c>
      <c r="J288" s="1">
        <v>156</v>
      </c>
    </row>
    <row r="289" spans="1:10" x14ac:dyDescent="0.25">
      <c r="A289" s="1" t="s">
        <v>34</v>
      </c>
      <c r="B289" t="s">
        <v>178</v>
      </c>
      <c r="C289" s="1">
        <v>2021</v>
      </c>
      <c r="D289" s="1" t="s">
        <v>31</v>
      </c>
      <c r="E289" s="1">
        <v>2076.5</v>
      </c>
      <c r="F289" s="1">
        <v>186.5</v>
      </c>
      <c r="G289" s="1">
        <v>455.8</v>
      </c>
      <c r="H289" s="1">
        <v>455.6</v>
      </c>
      <c r="I289" s="1">
        <v>1237.2</v>
      </c>
      <c r="J289" s="1">
        <v>157.30000000000001</v>
      </c>
    </row>
    <row r="290" spans="1:10" x14ac:dyDescent="0.25">
      <c r="A290" s="1" t="s">
        <v>30</v>
      </c>
      <c r="B290" t="s">
        <v>179</v>
      </c>
      <c r="C290" s="1">
        <v>2021</v>
      </c>
      <c r="D290" s="1" t="s">
        <v>35</v>
      </c>
      <c r="E290" s="1">
        <v>2025.3</v>
      </c>
      <c r="F290" s="1">
        <v>186.5</v>
      </c>
      <c r="G290" s="1">
        <v>471.39999999999992</v>
      </c>
      <c r="H290" s="1">
        <v>469.00000000000006</v>
      </c>
      <c r="I290" s="1">
        <v>1275.4000000000001</v>
      </c>
      <c r="J290" s="1">
        <v>156.69999999999999</v>
      </c>
    </row>
    <row r="291" spans="1:10" x14ac:dyDescent="0.25">
      <c r="A291" s="1" t="s">
        <v>33</v>
      </c>
      <c r="B291" t="s">
        <v>179</v>
      </c>
      <c r="C291" s="1">
        <v>2021</v>
      </c>
      <c r="D291" s="1" t="s">
        <v>35</v>
      </c>
      <c r="E291" s="1">
        <v>2066</v>
      </c>
      <c r="F291" s="1">
        <v>193.3</v>
      </c>
      <c r="G291" s="1">
        <v>444.2</v>
      </c>
      <c r="H291" s="1">
        <v>455.4</v>
      </c>
      <c r="I291" s="1">
        <v>1219.5999999999999</v>
      </c>
      <c r="J291" s="1">
        <v>156.5</v>
      </c>
    </row>
    <row r="292" spans="1:10" x14ac:dyDescent="0.25">
      <c r="A292" s="1" t="s">
        <v>34</v>
      </c>
      <c r="B292" t="s">
        <v>179</v>
      </c>
      <c r="C292" s="1">
        <v>2021</v>
      </c>
      <c r="D292" s="1" t="s">
        <v>35</v>
      </c>
      <c r="E292" s="1">
        <v>2039.3000000000002</v>
      </c>
      <c r="F292" s="1">
        <v>188.3</v>
      </c>
      <c r="G292" s="1">
        <v>460.40000000000003</v>
      </c>
      <c r="H292" s="1">
        <v>463.1</v>
      </c>
      <c r="I292" s="1">
        <v>1247.3999999999999</v>
      </c>
      <c r="J292" s="1">
        <v>156.6</v>
      </c>
    </row>
    <row r="293" spans="1:10" x14ac:dyDescent="0.25">
      <c r="A293" s="1" t="s">
        <v>30</v>
      </c>
      <c r="B293" t="s">
        <v>180</v>
      </c>
      <c r="C293" s="1">
        <v>2021</v>
      </c>
      <c r="D293" s="1" t="s">
        <v>36</v>
      </c>
      <c r="E293" s="1">
        <v>2025.7</v>
      </c>
      <c r="F293" s="1">
        <v>186.1</v>
      </c>
      <c r="G293" s="1">
        <v>472.9</v>
      </c>
      <c r="H293" s="1">
        <v>470.7</v>
      </c>
      <c r="I293" s="1">
        <v>1276.3</v>
      </c>
      <c r="J293" s="1">
        <v>156.69999999999999</v>
      </c>
    </row>
    <row r="294" spans="1:10" x14ac:dyDescent="0.25">
      <c r="A294" s="1" t="s">
        <v>33</v>
      </c>
      <c r="B294" t="s">
        <v>180</v>
      </c>
      <c r="C294" s="1">
        <v>2021</v>
      </c>
      <c r="D294" s="1" t="s">
        <v>36</v>
      </c>
      <c r="E294" s="1">
        <v>2064.4999999999995</v>
      </c>
      <c r="F294" s="1">
        <v>193.5</v>
      </c>
      <c r="G294" s="1">
        <v>446.4</v>
      </c>
      <c r="H294" s="1">
        <v>461.90000000000003</v>
      </c>
      <c r="I294" s="1">
        <v>1224.1999999999998</v>
      </c>
      <c r="J294" s="1">
        <v>156.9</v>
      </c>
    </row>
    <row r="295" spans="1:10" x14ac:dyDescent="0.25">
      <c r="A295" s="1" t="s">
        <v>34</v>
      </c>
      <c r="B295" t="s">
        <v>180</v>
      </c>
      <c r="C295" s="1">
        <v>2021</v>
      </c>
      <c r="D295" s="1" t="s">
        <v>36</v>
      </c>
      <c r="E295" s="1">
        <v>2039.3999999999999</v>
      </c>
      <c r="F295" s="1">
        <v>188.1</v>
      </c>
      <c r="G295" s="1">
        <v>462.10000000000008</v>
      </c>
      <c r="H295" s="1">
        <v>466.59999999999997</v>
      </c>
      <c r="I295" s="1">
        <v>1250.1999999999998</v>
      </c>
      <c r="J295" s="1">
        <v>156.80000000000001</v>
      </c>
    </row>
    <row r="296" spans="1:10" x14ac:dyDescent="0.25">
      <c r="A296" s="1" t="s">
        <v>30</v>
      </c>
      <c r="B296" t="s">
        <v>181</v>
      </c>
      <c r="C296" s="1">
        <v>2021</v>
      </c>
      <c r="D296" s="1" t="s">
        <v>37</v>
      </c>
      <c r="E296" s="1">
        <v>2049.5</v>
      </c>
      <c r="F296" s="1">
        <v>186.8</v>
      </c>
      <c r="G296" s="1">
        <v>475.69999999999993</v>
      </c>
      <c r="H296" s="1">
        <v>472.9</v>
      </c>
      <c r="I296" s="1">
        <v>1281.6999999999998</v>
      </c>
      <c r="J296" s="1">
        <v>157.6</v>
      </c>
    </row>
    <row r="297" spans="1:10" x14ac:dyDescent="0.25">
      <c r="A297" s="1" t="s">
        <v>33</v>
      </c>
      <c r="B297" t="s">
        <v>181</v>
      </c>
      <c r="C297" s="1">
        <v>2021</v>
      </c>
      <c r="D297" s="1" t="s">
        <v>37</v>
      </c>
      <c r="E297" s="1">
        <v>2089.6</v>
      </c>
      <c r="F297" s="1">
        <v>194.4</v>
      </c>
      <c r="G297" s="1">
        <v>448.6</v>
      </c>
      <c r="H297" s="1">
        <v>463.9</v>
      </c>
      <c r="I297" s="1">
        <v>1228.5</v>
      </c>
      <c r="J297" s="1">
        <v>158</v>
      </c>
    </row>
    <row r="298" spans="1:10" x14ac:dyDescent="0.25">
      <c r="A298" s="1" t="s">
        <v>34</v>
      </c>
      <c r="B298" t="s">
        <v>181</v>
      </c>
      <c r="C298" s="1">
        <v>2021</v>
      </c>
      <c r="D298" s="1" t="s">
        <v>37</v>
      </c>
      <c r="E298" s="1">
        <v>2064.1</v>
      </c>
      <c r="F298" s="1">
        <v>188.8</v>
      </c>
      <c r="G298" s="1">
        <v>464.6</v>
      </c>
      <c r="H298" s="1">
        <v>468.8</v>
      </c>
      <c r="I298" s="1">
        <v>1254.8000000000002</v>
      </c>
      <c r="J298" s="1">
        <v>157.80000000000001</v>
      </c>
    </row>
    <row r="299" spans="1:10" x14ac:dyDescent="0.25">
      <c r="A299" s="1" t="s">
        <v>30</v>
      </c>
      <c r="B299" t="s">
        <v>182</v>
      </c>
      <c r="C299" s="1">
        <v>2021</v>
      </c>
      <c r="D299" s="1" t="s">
        <v>38</v>
      </c>
      <c r="E299" s="1">
        <v>2095.2999999999997</v>
      </c>
      <c r="F299" s="1">
        <v>189.6</v>
      </c>
      <c r="G299" s="1">
        <v>490.40000000000003</v>
      </c>
      <c r="H299" s="1">
        <v>482.09999999999997</v>
      </c>
      <c r="I299" s="1">
        <v>1307</v>
      </c>
      <c r="J299" s="1">
        <v>161.1</v>
      </c>
    </row>
    <row r="300" spans="1:10" x14ac:dyDescent="0.25">
      <c r="A300" s="1" t="s">
        <v>33</v>
      </c>
      <c r="B300" t="s">
        <v>182</v>
      </c>
      <c r="C300" s="1">
        <v>2021</v>
      </c>
      <c r="D300" s="1" t="s">
        <v>38</v>
      </c>
      <c r="E300" s="1">
        <v>2124.7000000000003</v>
      </c>
      <c r="F300" s="1">
        <v>198.2</v>
      </c>
      <c r="G300" s="1">
        <v>450.79999999999995</v>
      </c>
      <c r="H300" s="1">
        <v>467.20000000000005</v>
      </c>
      <c r="I300" s="1">
        <v>1241.4000000000001</v>
      </c>
      <c r="J300" s="1">
        <v>159.5</v>
      </c>
    </row>
    <row r="301" spans="1:10" x14ac:dyDescent="0.25">
      <c r="A301" s="1" t="s">
        <v>34</v>
      </c>
      <c r="B301" t="s">
        <v>182</v>
      </c>
      <c r="C301" s="1">
        <v>2021</v>
      </c>
      <c r="D301" s="1" t="s">
        <v>38</v>
      </c>
      <c r="E301" s="1">
        <v>2105.7000000000003</v>
      </c>
      <c r="F301" s="1">
        <v>191.9</v>
      </c>
      <c r="G301" s="1">
        <v>474.29999999999995</v>
      </c>
      <c r="H301" s="1">
        <v>475.7</v>
      </c>
      <c r="I301" s="1">
        <v>1274.0999999999999</v>
      </c>
      <c r="J301" s="1">
        <v>160.4</v>
      </c>
    </row>
    <row r="302" spans="1:10" x14ac:dyDescent="0.25">
      <c r="A302" s="1" t="s">
        <v>30</v>
      </c>
      <c r="B302" t="s">
        <v>183</v>
      </c>
      <c r="C302" s="1">
        <v>2021</v>
      </c>
      <c r="D302" s="1" t="s">
        <v>39</v>
      </c>
      <c r="E302" s="1">
        <v>2122.6</v>
      </c>
      <c r="F302" s="1">
        <v>189.1</v>
      </c>
      <c r="G302" s="1">
        <v>489.80000000000007</v>
      </c>
      <c r="H302" s="1">
        <v>481.8</v>
      </c>
      <c r="I302" s="1">
        <v>1308.5</v>
      </c>
      <c r="J302" s="1">
        <v>162.1</v>
      </c>
    </row>
    <row r="303" spans="1:10" x14ac:dyDescent="0.25">
      <c r="A303" s="1" t="s">
        <v>33</v>
      </c>
      <c r="B303" t="s">
        <v>183</v>
      </c>
      <c r="C303" s="1">
        <v>2021</v>
      </c>
      <c r="D303" s="1" t="s">
        <v>39</v>
      </c>
      <c r="E303" s="1">
        <v>2154.1999999999998</v>
      </c>
      <c r="F303" s="1">
        <v>195.6</v>
      </c>
      <c r="G303" s="1">
        <v>452.6</v>
      </c>
      <c r="H303" s="1">
        <v>466.40000000000003</v>
      </c>
      <c r="I303" s="1">
        <v>1247.3999999999999</v>
      </c>
      <c r="J303" s="1">
        <v>160.4</v>
      </c>
    </row>
    <row r="304" spans="1:10" x14ac:dyDescent="0.25">
      <c r="A304" s="1" t="s">
        <v>34</v>
      </c>
      <c r="B304" t="s">
        <v>183</v>
      </c>
      <c r="C304" s="1">
        <v>2021</v>
      </c>
      <c r="D304" s="1" t="s">
        <v>39</v>
      </c>
      <c r="E304" s="1">
        <v>2133.9</v>
      </c>
      <c r="F304" s="1">
        <v>190.8</v>
      </c>
      <c r="G304" s="1">
        <v>474.7</v>
      </c>
      <c r="H304" s="1">
        <v>475.1</v>
      </c>
      <c r="I304" s="1">
        <v>1278</v>
      </c>
      <c r="J304" s="1">
        <v>161.30000000000001</v>
      </c>
    </row>
    <row r="305" spans="1:10" x14ac:dyDescent="0.25">
      <c r="A305" s="1" t="s">
        <v>30</v>
      </c>
      <c r="B305" t="s">
        <v>184</v>
      </c>
      <c r="C305" s="1">
        <v>2021</v>
      </c>
      <c r="D305" s="1" t="s">
        <v>40</v>
      </c>
      <c r="E305" s="1">
        <v>2132.4</v>
      </c>
      <c r="F305" s="1">
        <v>189.7</v>
      </c>
      <c r="G305" s="1">
        <v>492.40000000000009</v>
      </c>
      <c r="H305" s="1">
        <v>484.3</v>
      </c>
      <c r="I305" s="1">
        <v>1316.2</v>
      </c>
      <c r="J305" s="1">
        <v>163.19999999999999</v>
      </c>
    </row>
    <row r="306" spans="1:10" x14ac:dyDescent="0.25">
      <c r="A306" s="1" t="s">
        <v>33</v>
      </c>
      <c r="B306" t="s">
        <v>184</v>
      </c>
      <c r="C306" s="1">
        <v>2021</v>
      </c>
      <c r="D306" s="1" t="s">
        <v>40</v>
      </c>
      <c r="E306" s="1">
        <v>2171.8000000000002</v>
      </c>
      <c r="F306" s="1">
        <v>195.5</v>
      </c>
      <c r="G306" s="1">
        <v>455.29999999999995</v>
      </c>
      <c r="H306" s="1">
        <v>469.9</v>
      </c>
      <c r="I306" s="1">
        <v>1258.9000000000001</v>
      </c>
      <c r="J306" s="1">
        <v>161.80000000000001</v>
      </c>
    </row>
    <row r="307" spans="1:10" x14ac:dyDescent="0.25">
      <c r="A307" s="1" t="s">
        <v>34</v>
      </c>
      <c r="B307" t="s">
        <v>184</v>
      </c>
      <c r="C307" s="1">
        <v>2021</v>
      </c>
      <c r="D307" s="1" t="s">
        <v>40</v>
      </c>
      <c r="E307" s="1">
        <v>2147</v>
      </c>
      <c r="F307" s="1">
        <v>191.2</v>
      </c>
      <c r="G307" s="1">
        <v>477.29999999999995</v>
      </c>
      <c r="H307" s="1">
        <v>478</v>
      </c>
      <c r="I307" s="1">
        <v>1287.8999999999999</v>
      </c>
      <c r="J307" s="1">
        <v>162.5</v>
      </c>
    </row>
    <row r="308" spans="1:10" x14ac:dyDescent="0.25">
      <c r="A308" s="1" t="s">
        <v>30</v>
      </c>
      <c r="B308" t="s">
        <v>185</v>
      </c>
      <c r="C308" s="1">
        <v>2021</v>
      </c>
      <c r="D308" s="1" t="s">
        <v>41</v>
      </c>
      <c r="E308" s="1">
        <v>2130.8000000000002</v>
      </c>
      <c r="F308" s="1">
        <v>190.2</v>
      </c>
      <c r="G308" s="1">
        <v>495.90000000000003</v>
      </c>
      <c r="H308" s="1">
        <v>486.1</v>
      </c>
      <c r="I308" s="1">
        <v>1319.6</v>
      </c>
      <c r="J308" s="1">
        <v>163.6</v>
      </c>
    </row>
    <row r="309" spans="1:10" x14ac:dyDescent="0.25">
      <c r="A309" s="1" t="s">
        <v>33</v>
      </c>
      <c r="B309" t="s">
        <v>185</v>
      </c>
      <c r="C309" s="1">
        <v>2021</v>
      </c>
      <c r="D309" s="1" t="s">
        <v>41</v>
      </c>
      <c r="E309" s="1">
        <v>2157.9</v>
      </c>
      <c r="F309" s="1">
        <v>196.5</v>
      </c>
      <c r="G309" s="1">
        <v>460.69999999999993</v>
      </c>
      <c r="H309" s="1">
        <v>475.99999999999994</v>
      </c>
      <c r="I309" s="1">
        <v>1266.0999999999999</v>
      </c>
      <c r="J309" s="1">
        <v>162.30000000000001</v>
      </c>
    </row>
    <row r="310" spans="1:10" x14ac:dyDescent="0.25">
      <c r="A310" s="1" t="s">
        <v>34</v>
      </c>
      <c r="B310" t="s">
        <v>185</v>
      </c>
      <c r="C310" s="1">
        <v>2021</v>
      </c>
      <c r="D310" s="1" t="s">
        <v>41</v>
      </c>
      <c r="E310" s="1">
        <v>2142</v>
      </c>
      <c r="F310" s="1">
        <v>192.1</v>
      </c>
      <c r="G310" s="1">
        <v>483</v>
      </c>
      <c r="H310" s="1">
        <v>482.2</v>
      </c>
      <c r="I310" s="1">
        <v>1296</v>
      </c>
      <c r="J310" s="1">
        <v>163.19999999999999</v>
      </c>
    </row>
    <row r="311" spans="1:10" x14ac:dyDescent="0.25">
      <c r="A311" s="1" t="s">
        <v>30</v>
      </c>
      <c r="B311" t="s">
        <v>186</v>
      </c>
      <c r="C311" s="1">
        <v>2021</v>
      </c>
      <c r="D311" s="1" t="s">
        <v>42</v>
      </c>
      <c r="E311" s="1">
        <v>2133.6</v>
      </c>
      <c r="F311" s="1">
        <v>190.5</v>
      </c>
      <c r="G311" s="1">
        <v>498.39999999999992</v>
      </c>
      <c r="H311" s="1">
        <v>487.09999999999997</v>
      </c>
      <c r="I311" s="1">
        <v>1325.3000000000002</v>
      </c>
      <c r="J311" s="1">
        <v>164</v>
      </c>
    </row>
    <row r="312" spans="1:10" x14ac:dyDescent="0.25">
      <c r="A312" s="1" t="s">
        <v>33</v>
      </c>
      <c r="B312" t="s">
        <v>186</v>
      </c>
      <c r="C312" s="1">
        <v>2021</v>
      </c>
      <c r="D312" s="1" t="s">
        <v>42</v>
      </c>
      <c r="E312" s="1">
        <v>2157.9</v>
      </c>
      <c r="F312" s="1">
        <v>196.5</v>
      </c>
      <c r="G312" s="1">
        <v>460.79999999999995</v>
      </c>
      <c r="H312" s="1">
        <v>476.2</v>
      </c>
      <c r="I312" s="1">
        <v>1266.2</v>
      </c>
      <c r="J312" s="1">
        <v>162.30000000000001</v>
      </c>
    </row>
    <row r="313" spans="1:10" x14ac:dyDescent="0.25">
      <c r="A313" s="1" t="s">
        <v>34</v>
      </c>
      <c r="B313" t="s">
        <v>186</v>
      </c>
      <c r="C313" s="1">
        <v>2021</v>
      </c>
      <c r="D313" s="1" t="s">
        <v>42</v>
      </c>
      <c r="E313" s="1">
        <v>2142</v>
      </c>
      <c r="F313" s="1">
        <v>192.1</v>
      </c>
      <c r="G313" s="1">
        <v>483.20000000000005</v>
      </c>
      <c r="H313" s="1">
        <v>482.2</v>
      </c>
      <c r="I313" s="1">
        <v>1295.9000000000001</v>
      </c>
      <c r="J313" s="1">
        <v>163.19999999999999</v>
      </c>
    </row>
    <row r="314" spans="1:10" x14ac:dyDescent="0.25">
      <c r="A314" s="1" t="s">
        <v>30</v>
      </c>
      <c r="B314" t="s">
        <v>187</v>
      </c>
      <c r="C314" s="1">
        <v>2021</v>
      </c>
      <c r="D314" s="1" t="s">
        <v>43</v>
      </c>
      <c r="E314" s="1">
        <v>2164.1999999999998</v>
      </c>
      <c r="F314" s="1">
        <v>191.2</v>
      </c>
      <c r="G314" s="1">
        <v>502</v>
      </c>
      <c r="H314" s="1">
        <v>491.1</v>
      </c>
      <c r="I314" s="1">
        <v>1331.5</v>
      </c>
      <c r="J314" s="1">
        <v>166.3</v>
      </c>
    </row>
    <row r="315" spans="1:10" x14ac:dyDescent="0.25">
      <c r="A315" s="1" t="s">
        <v>33</v>
      </c>
      <c r="B315" t="s">
        <v>187</v>
      </c>
      <c r="C315" s="1">
        <v>2021</v>
      </c>
      <c r="D315" s="1" t="s">
        <v>43</v>
      </c>
      <c r="E315" s="1">
        <v>2198.4000000000005</v>
      </c>
      <c r="F315" s="1">
        <v>197</v>
      </c>
      <c r="G315" s="1">
        <v>463.50000000000006</v>
      </c>
      <c r="H315" s="1">
        <v>480.09999999999997</v>
      </c>
      <c r="I315" s="1">
        <v>1272.2</v>
      </c>
      <c r="J315" s="1">
        <v>164.6</v>
      </c>
    </row>
    <row r="316" spans="1:10" x14ac:dyDescent="0.25">
      <c r="A316" s="1" t="s">
        <v>34</v>
      </c>
      <c r="B316" t="s">
        <v>187</v>
      </c>
      <c r="C316" s="1">
        <v>2021</v>
      </c>
      <c r="D316" s="1" t="s">
        <v>43</v>
      </c>
      <c r="E316" s="1">
        <v>2175.5</v>
      </c>
      <c r="F316" s="1">
        <v>192.7</v>
      </c>
      <c r="G316" s="1">
        <v>486.3</v>
      </c>
      <c r="H316" s="1">
        <v>486.19999999999993</v>
      </c>
      <c r="I316" s="1">
        <v>1302.0999999999999</v>
      </c>
      <c r="J316" s="1">
        <v>165.5</v>
      </c>
    </row>
    <row r="317" spans="1:10" x14ac:dyDescent="0.25">
      <c r="A317" s="1" t="s">
        <v>30</v>
      </c>
      <c r="B317" t="s">
        <v>188</v>
      </c>
      <c r="C317" s="1">
        <v>2021</v>
      </c>
      <c r="D317" s="1" t="s">
        <v>44</v>
      </c>
      <c r="E317" s="1">
        <v>2182</v>
      </c>
      <c r="F317" s="1">
        <v>191.4</v>
      </c>
      <c r="G317" s="1">
        <v>506.20000000000005</v>
      </c>
      <c r="H317" s="1">
        <v>492.4</v>
      </c>
      <c r="I317" s="1">
        <v>1335.7000000000003</v>
      </c>
      <c r="J317" s="1">
        <v>167.6</v>
      </c>
    </row>
    <row r="318" spans="1:10" x14ac:dyDescent="0.25">
      <c r="A318" s="1" t="s">
        <v>33</v>
      </c>
      <c r="B318" t="s">
        <v>188</v>
      </c>
      <c r="C318" s="1">
        <v>2021</v>
      </c>
      <c r="D318" s="1" t="s">
        <v>44</v>
      </c>
      <c r="E318" s="1">
        <v>2217.8999999999996</v>
      </c>
      <c r="F318" s="1">
        <v>197</v>
      </c>
      <c r="G318" s="1">
        <v>467.3</v>
      </c>
      <c r="H318" s="1">
        <v>480.99999999999994</v>
      </c>
      <c r="I318" s="1">
        <v>1277</v>
      </c>
      <c r="J318" s="1">
        <v>165.6</v>
      </c>
    </row>
    <row r="319" spans="1:10" x14ac:dyDescent="0.25">
      <c r="A319" s="1" t="s">
        <v>34</v>
      </c>
      <c r="B319" t="s">
        <v>188</v>
      </c>
      <c r="C319" s="1">
        <v>2021</v>
      </c>
      <c r="D319" s="1" t="s">
        <v>44</v>
      </c>
      <c r="E319" s="1">
        <v>2194.1</v>
      </c>
      <c r="F319" s="1">
        <v>192.9</v>
      </c>
      <c r="G319" s="1">
        <v>490.40000000000003</v>
      </c>
      <c r="H319" s="1">
        <v>487.40000000000003</v>
      </c>
      <c r="I319" s="1">
        <v>1306.6000000000001</v>
      </c>
      <c r="J319" s="1">
        <v>166.7</v>
      </c>
    </row>
    <row r="320" spans="1:10" x14ac:dyDescent="0.25">
      <c r="A320" s="1" t="s">
        <v>30</v>
      </c>
      <c r="B320" t="s">
        <v>189</v>
      </c>
      <c r="C320" s="1">
        <v>2021</v>
      </c>
      <c r="D320" s="1" t="s">
        <v>45</v>
      </c>
      <c r="E320" s="1">
        <v>2168.1999999999998</v>
      </c>
      <c r="F320" s="1">
        <v>190.8</v>
      </c>
      <c r="G320" s="1">
        <v>510.3</v>
      </c>
      <c r="H320" s="1">
        <v>492.9</v>
      </c>
      <c r="I320" s="1">
        <v>1340.8</v>
      </c>
      <c r="J320" s="1">
        <v>167</v>
      </c>
    </row>
    <row r="321" spans="1:10" x14ac:dyDescent="0.25">
      <c r="A321" s="1" t="s">
        <v>33</v>
      </c>
      <c r="B321" t="s">
        <v>189</v>
      </c>
      <c r="C321" s="1">
        <v>2021</v>
      </c>
      <c r="D321" s="1" t="s">
        <v>45</v>
      </c>
      <c r="E321" s="1">
        <v>2206.3000000000002</v>
      </c>
      <c r="F321" s="1">
        <v>196.8</v>
      </c>
      <c r="G321" s="1">
        <v>470.70000000000005</v>
      </c>
      <c r="H321" s="1">
        <v>481.1</v>
      </c>
      <c r="I321" s="1">
        <v>1281</v>
      </c>
      <c r="J321" s="1">
        <v>165.2</v>
      </c>
    </row>
    <row r="322" spans="1:10" x14ac:dyDescent="0.25">
      <c r="A322" s="1" t="s">
        <v>34</v>
      </c>
      <c r="B322" t="s">
        <v>189</v>
      </c>
      <c r="C322" s="1">
        <v>2021</v>
      </c>
      <c r="D322" s="1" t="s">
        <v>45</v>
      </c>
      <c r="E322" s="1">
        <v>2180.9</v>
      </c>
      <c r="F322" s="1">
        <v>192.4</v>
      </c>
      <c r="G322" s="1">
        <v>494.19999999999993</v>
      </c>
      <c r="H322" s="1">
        <v>487.7</v>
      </c>
      <c r="I322" s="1">
        <v>1310.9</v>
      </c>
      <c r="J322" s="1">
        <v>166.2</v>
      </c>
    </row>
    <row r="323" spans="1:10" x14ac:dyDescent="0.25">
      <c r="A323" s="1" t="s">
        <v>30</v>
      </c>
      <c r="B323" t="s">
        <v>190</v>
      </c>
      <c r="C323" s="1">
        <v>2022</v>
      </c>
      <c r="D323" s="1" t="s">
        <v>31</v>
      </c>
      <c r="E323" s="1">
        <v>2153</v>
      </c>
      <c r="F323" s="1">
        <v>190.7</v>
      </c>
      <c r="G323" s="1">
        <v>515.20000000000005</v>
      </c>
      <c r="H323" s="1">
        <v>495.20000000000005</v>
      </c>
      <c r="I323" s="1">
        <v>1344.7000000000003</v>
      </c>
      <c r="J323" s="1">
        <v>166.4</v>
      </c>
    </row>
    <row r="324" spans="1:10" x14ac:dyDescent="0.25">
      <c r="A324" s="1" t="s">
        <v>33</v>
      </c>
      <c r="B324" t="s">
        <v>190</v>
      </c>
      <c r="C324" s="1">
        <v>2022</v>
      </c>
      <c r="D324" s="1" t="s">
        <v>31</v>
      </c>
      <c r="E324" s="1">
        <v>2186.6999999999998</v>
      </c>
      <c r="F324" s="1">
        <v>196.4</v>
      </c>
      <c r="G324" s="1">
        <v>475.40000000000003</v>
      </c>
      <c r="H324" s="1">
        <v>482.90000000000003</v>
      </c>
      <c r="I324" s="1">
        <v>1286.7000000000003</v>
      </c>
      <c r="J324" s="1">
        <v>165</v>
      </c>
    </row>
    <row r="325" spans="1:10" x14ac:dyDescent="0.25">
      <c r="A325" s="1" t="s">
        <v>34</v>
      </c>
      <c r="B325" t="s">
        <v>190</v>
      </c>
      <c r="C325" s="1">
        <v>2022</v>
      </c>
      <c r="D325" s="1" t="s">
        <v>31</v>
      </c>
      <c r="E325" s="1">
        <v>2164.1999999999998</v>
      </c>
      <c r="F325" s="1">
        <v>192.2</v>
      </c>
      <c r="G325" s="1">
        <v>499.1</v>
      </c>
      <c r="H325" s="1">
        <v>489.79999999999995</v>
      </c>
      <c r="I325" s="1">
        <v>1315.6</v>
      </c>
      <c r="J325" s="1">
        <v>165.7</v>
      </c>
    </row>
    <row r="326" spans="1:10" x14ac:dyDescent="0.25">
      <c r="A326" s="1" t="s">
        <v>30</v>
      </c>
      <c r="B326" t="s">
        <v>191</v>
      </c>
      <c r="C326" s="1">
        <v>2022</v>
      </c>
      <c r="D326" s="1" t="s">
        <v>35</v>
      </c>
      <c r="E326" s="1">
        <v>2150.4</v>
      </c>
      <c r="F326" s="1">
        <v>191.5</v>
      </c>
      <c r="G326" s="1">
        <v>518.79999999999995</v>
      </c>
      <c r="H326" s="1">
        <v>498.59999999999997</v>
      </c>
      <c r="I326" s="1">
        <v>1349.6999999999998</v>
      </c>
      <c r="J326" s="1">
        <v>166.7</v>
      </c>
    </row>
    <row r="327" spans="1:10" x14ac:dyDescent="0.25">
      <c r="A327" s="1" t="s">
        <v>33</v>
      </c>
      <c r="B327" t="s">
        <v>191</v>
      </c>
      <c r="C327" s="1">
        <v>2022</v>
      </c>
      <c r="D327" s="1" t="s">
        <v>35</v>
      </c>
      <c r="E327" s="1">
        <v>2183.5</v>
      </c>
      <c r="F327" s="1">
        <v>196.5</v>
      </c>
      <c r="G327" s="1">
        <v>479.50000000000006</v>
      </c>
      <c r="H327" s="1">
        <v>485.9</v>
      </c>
      <c r="I327" s="1">
        <v>1294.5999999999999</v>
      </c>
      <c r="J327" s="1">
        <v>165.5</v>
      </c>
    </row>
    <row r="328" spans="1:10" x14ac:dyDescent="0.25">
      <c r="A328" s="1" t="s">
        <v>34</v>
      </c>
      <c r="B328" t="s">
        <v>191</v>
      </c>
      <c r="C328" s="1">
        <v>2022</v>
      </c>
      <c r="D328" s="1" t="s">
        <v>35</v>
      </c>
      <c r="E328" s="1">
        <v>2161.2000000000003</v>
      </c>
      <c r="F328" s="1">
        <v>192.8</v>
      </c>
      <c r="G328" s="1">
        <v>502.80000000000007</v>
      </c>
      <c r="H328" s="1">
        <v>493</v>
      </c>
      <c r="I328" s="1">
        <v>1322.1</v>
      </c>
      <c r="J328" s="1">
        <v>166.1</v>
      </c>
    </row>
    <row r="329" spans="1:10" x14ac:dyDescent="0.25">
      <c r="A329" s="1" t="s">
        <v>30</v>
      </c>
      <c r="B329" t="s">
        <v>192</v>
      </c>
      <c r="C329" s="1">
        <v>2022</v>
      </c>
      <c r="D329" s="1" t="s">
        <v>36</v>
      </c>
      <c r="E329" s="1">
        <v>2179.1000000000004</v>
      </c>
      <c r="F329" s="1">
        <v>192.3</v>
      </c>
      <c r="G329" s="1">
        <v>523.70000000000005</v>
      </c>
      <c r="H329" s="1">
        <v>500.70000000000005</v>
      </c>
      <c r="I329" s="1">
        <v>1357.5</v>
      </c>
      <c r="J329" s="1">
        <v>168.7</v>
      </c>
    </row>
    <row r="330" spans="1:10" x14ac:dyDescent="0.25">
      <c r="A330" s="1" t="s">
        <v>33</v>
      </c>
      <c r="B330" t="s">
        <v>192</v>
      </c>
      <c r="C330" s="1">
        <v>2022</v>
      </c>
      <c r="D330" s="1" t="s">
        <v>36</v>
      </c>
      <c r="E330" s="1">
        <v>2196.3000000000002</v>
      </c>
      <c r="F330" s="1">
        <v>197.5</v>
      </c>
      <c r="G330" s="1">
        <v>484.60000000000008</v>
      </c>
      <c r="H330" s="1">
        <v>488.4</v>
      </c>
      <c r="I330" s="1">
        <v>1304.1999999999998</v>
      </c>
      <c r="J330" s="1">
        <v>166.5</v>
      </c>
    </row>
    <row r="331" spans="1:10" x14ac:dyDescent="0.25">
      <c r="A331" s="1" t="s">
        <v>34</v>
      </c>
      <c r="B331" t="s">
        <v>192</v>
      </c>
      <c r="C331" s="1">
        <v>2022</v>
      </c>
      <c r="D331" s="1" t="s">
        <v>36</v>
      </c>
      <c r="E331" s="1">
        <v>2184.2000000000003</v>
      </c>
      <c r="F331" s="1">
        <v>193.7</v>
      </c>
      <c r="G331" s="1">
        <v>507.8</v>
      </c>
      <c r="H331" s="1">
        <v>495.3</v>
      </c>
      <c r="I331" s="1">
        <v>1331</v>
      </c>
      <c r="J331" s="1">
        <v>167.7</v>
      </c>
    </row>
    <row r="332" spans="1:10" x14ac:dyDescent="0.25">
      <c r="A332" s="1" t="s">
        <v>30</v>
      </c>
      <c r="B332" t="s">
        <v>193</v>
      </c>
      <c r="C332" s="1">
        <v>2022</v>
      </c>
      <c r="D332" s="1" t="s">
        <v>37</v>
      </c>
      <c r="E332" s="1">
        <v>2206.6</v>
      </c>
      <c r="F332" s="1">
        <v>192.8</v>
      </c>
      <c r="G332" s="1">
        <v>529.70000000000005</v>
      </c>
      <c r="H332" s="1">
        <v>508</v>
      </c>
      <c r="I332" s="1">
        <v>1368.4</v>
      </c>
      <c r="J332" s="1">
        <v>170.8</v>
      </c>
    </row>
    <row r="333" spans="1:10" x14ac:dyDescent="0.25">
      <c r="A333" s="1" t="s">
        <v>33</v>
      </c>
      <c r="B333" t="s">
        <v>193</v>
      </c>
      <c r="C333" s="1">
        <v>2022</v>
      </c>
      <c r="D333" s="1" t="s">
        <v>37</v>
      </c>
      <c r="E333" s="1">
        <v>2230.4</v>
      </c>
      <c r="F333" s="1">
        <v>197.1</v>
      </c>
      <c r="G333" s="1">
        <v>489.20000000000005</v>
      </c>
      <c r="H333" s="1">
        <v>497.3</v>
      </c>
      <c r="I333" s="1">
        <v>1319</v>
      </c>
      <c r="J333" s="1">
        <v>169.2</v>
      </c>
    </row>
    <row r="334" spans="1:10" x14ac:dyDescent="0.25">
      <c r="A334" s="1" t="s">
        <v>34</v>
      </c>
      <c r="B334" t="s">
        <v>193</v>
      </c>
      <c r="C334" s="1">
        <v>2022</v>
      </c>
      <c r="D334" s="1" t="s">
        <v>37</v>
      </c>
      <c r="E334" s="1">
        <v>2214.3000000000002</v>
      </c>
      <c r="F334" s="1">
        <v>193.9</v>
      </c>
      <c r="G334" s="1">
        <v>513.20000000000005</v>
      </c>
      <c r="H334" s="1">
        <v>503.2</v>
      </c>
      <c r="I334" s="1">
        <v>1344.4</v>
      </c>
      <c r="J334" s="1">
        <v>170.1</v>
      </c>
    </row>
    <row r="335" spans="1:10" x14ac:dyDescent="0.25">
      <c r="A335" s="1" t="s">
        <v>30</v>
      </c>
      <c r="B335" t="s">
        <v>194</v>
      </c>
      <c r="C335" s="1">
        <v>2022</v>
      </c>
      <c r="D335" s="1" t="s">
        <v>38</v>
      </c>
      <c r="E335" s="1">
        <v>2226.8000000000002</v>
      </c>
      <c r="F335" s="1">
        <v>192.9</v>
      </c>
      <c r="G335" s="1">
        <v>535.5</v>
      </c>
      <c r="H335" s="1">
        <v>511.70000000000005</v>
      </c>
      <c r="I335" s="1">
        <v>1373.1</v>
      </c>
      <c r="J335" s="1">
        <v>172.5</v>
      </c>
    </row>
    <row r="336" spans="1:10" x14ac:dyDescent="0.25">
      <c r="A336" s="1" t="s">
        <v>33</v>
      </c>
      <c r="B336" t="s">
        <v>194</v>
      </c>
      <c r="C336" s="1">
        <v>2022</v>
      </c>
      <c r="D336" s="1" t="s">
        <v>38</v>
      </c>
      <c r="E336" s="1">
        <v>2262.2000000000003</v>
      </c>
      <c r="F336" s="1">
        <v>197.5</v>
      </c>
      <c r="G336" s="1">
        <v>493.7</v>
      </c>
      <c r="H336" s="1">
        <v>502.1</v>
      </c>
      <c r="I336" s="1">
        <v>1325.1999999999998</v>
      </c>
      <c r="J336" s="1">
        <v>170.8</v>
      </c>
    </row>
    <row r="337" spans="1:10" x14ac:dyDescent="0.25">
      <c r="A337" s="1" t="s">
        <v>34</v>
      </c>
      <c r="B337" t="s">
        <v>194</v>
      </c>
      <c r="C337" s="1">
        <v>2022</v>
      </c>
      <c r="D337" s="1" t="s">
        <v>38</v>
      </c>
      <c r="E337" s="1">
        <v>2238.9000000000005</v>
      </c>
      <c r="F337" s="1">
        <v>194.1</v>
      </c>
      <c r="G337" s="1">
        <v>518.6</v>
      </c>
      <c r="H337" s="1">
        <v>507.3</v>
      </c>
      <c r="I337" s="1">
        <v>1349.4</v>
      </c>
      <c r="J337" s="1">
        <v>171.7</v>
      </c>
    </row>
    <row r="338" spans="1:10" x14ac:dyDescent="0.25">
      <c r="A338" s="1" t="s">
        <v>30</v>
      </c>
      <c r="B338" t="s">
        <v>195</v>
      </c>
      <c r="C338" s="1">
        <v>2022</v>
      </c>
      <c r="D338" s="1" t="s">
        <v>39</v>
      </c>
      <c r="E338" s="1">
        <v>2248.3000000000002</v>
      </c>
      <c r="F338" s="1">
        <v>192.9</v>
      </c>
      <c r="G338" s="1">
        <v>539.79999999999995</v>
      </c>
      <c r="H338" s="1">
        <v>513.79999999999995</v>
      </c>
      <c r="I338" s="1">
        <v>1375.6</v>
      </c>
      <c r="J338" s="1">
        <v>173.6</v>
      </c>
    </row>
    <row r="339" spans="1:10" x14ac:dyDescent="0.25">
      <c r="A339" s="1" t="s">
        <v>33</v>
      </c>
      <c r="B339" t="s">
        <v>195</v>
      </c>
      <c r="C339" s="1">
        <v>2022</v>
      </c>
      <c r="D339" s="1" t="s">
        <v>39</v>
      </c>
      <c r="E339" s="1">
        <v>2287.5</v>
      </c>
      <c r="F339" s="1">
        <v>198.3</v>
      </c>
      <c r="G339" s="1">
        <v>498.39999999999992</v>
      </c>
      <c r="H339" s="1">
        <v>503.80000000000007</v>
      </c>
      <c r="I339" s="1">
        <v>1329.1</v>
      </c>
      <c r="J339" s="1">
        <v>171.4</v>
      </c>
    </row>
    <row r="340" spans="1:10" x14ac:dyDescent="0.25">
      <c r="A340" s="1" t="s">
        <v>34</v>
      </c>
      <c r="B340" t="s">
        <v>195</v>
      </c>
      <c r="C340" s="1">
        <v>2022</v>
      </c>
      <c r="D340" s="1" t="s">
        <v>39</v>
      </c>
      <c r="E340" s="1">
        <v>2261.9</v>
      </c>
      <c r="F340" s="1">
        <v>194.3</v>
      </c>
      <c r="G340" s="1">
        <v>523</v>
      </c>
      <c r="H340" s="1">
        <v>509.20000000000005</v>
      </c>
      <c r="I340" s="1">
        <v>1352.6</v>
      </c>
      <c r="J340" s="1">
        <v>172.6</v>
      </c>
    </row>
    <row r="341" spans="1:10" x14ac:dyDescent="0.25">
      <c r="A341" s="1" t="s">
        <v>30</v>
      </c>
      <c r="B341" t="s">
        <v>196</v>
      </c>
      <c r="C341" s="1">
        <v>2022</v>
      </c>
      <c r="D341" s="1" t="s">
        <v>40</v>
      </c>
      <c r="E341" s="1">
        <v>2252.5</v>
      </c>
      <c r="F341" s="1">
        <v>193.2</v>
      </c>
      <c r="G341" s="1">
        <v>544</v>
      </c>
      <c r="H341" s="1">
        <v>518.70000000000005</v>
      </c>
      <c r="I341" s="1">
        <v>1383.4</v>
      </c>
      <c r="J341" s="1">
        <v>174.3</v>
      </c>
    </row>
    <row r="342" spans="1:10" x14ac:dyDescent="0.25">
      <c r="A342" s="1" t="s">
        <v>33</v>
      </c>
      <c r="B342" t="s">
        <v>196</v>
      </c>
      <c r="C342" s="1">
        <v>2022</v>
      </c>
      <c r="D342" s="1" t="s">
        <v>40</v>
      </c>
      <c r="E342" s="1">
        <v>2291.6</v>
      </c>
      <c r="F342" s="1">
        <v>198.6</v>
      </c>
      <c r="G342" s="1">
        <v>501.99999999999994</v>
      </c>
      <c r="H342" s="1">
        <v>510.4</v>
      </c>
      <c r="I342" s="1">
        <v>1338.1</v>
      </c>
      <c r="J342" s="1">
        <v>172.3</v>
      </c>
    </row>
    <row r="343" spans="1:10" x14ac:dyDescent="0.25">
      <c r="A343" s="1" t="s">
        <v>34</v>
      </c>
      <c r="B343" t="s">
        <v>196</v>
      </c>
      <c r="C343" s="1">
        <v>2022</v>
      </c>
      <c r="D343" s="1" t="s">
        <v>40</v>
      </c>
      <c r="E343" s="1">
        <v>2266.3000000000002</v>
      </c>
      <c r="F343" s="1">
        <v>194.6</v>
      </c>
      <c r="G343" s="1">
        <v>526.90000000000009</v>
      </c>
      <c r="H343" s="1">
        <v>514.79999999999995</v>
      </c>
      <c r="I343" s="1">
        <v>1361</v>
      </c>
      <c r="J343" s="1">
        <v>173.4</v>
      </c>
    </row>
    <row r="344" spans="1:10" x14ac:dyDescent="0.25">
      <c r="A344" s="1" t="s">
        <v>30</v>
      </c>
      <c r="B344" t="s">
        <v>197</v>
      </c>
      <c r="C344" s="1">
        <v>2022</v>
      </c>
      <c r="D344" s="1" t="s">
        <v>41</v>
      </c>
      <c r="E344" s="1">
        <v>2255.7999999999997</v>
      </c>
      <c r="F344" s="1">
        <v>193.7</v>
      </c>
      <c r="G344" s="1">
        <v>547.9</v>
      </c>
      <c r="H344" s="1">
        <v>520.40000000000009</v>
      </c>
      <c r="I344" s="1">
        <v>1389.8000000000002</v>
      </c>
      <c r="J344" s="1">
        <v>175.3</v>
      </c>
    </row>
    <row r="345" spans="1:10" x14ac:dyDescent="0.25">
      <c r="A345" s="1" t="s">
        <v>33</v>
      </c>
      <c r="B345" t="s">
        <v>197</v>
      </c>
      <c r="C345" s="1">
        <v>2022</v>
      </c>
      <c r="D345" s="1" t="s">
        <v>41</v>
      </c>
      <c r="E345" s="1">
        <v>2293.6999999999998</v>
      </c>
      <c r="F345" s="1">
        <v>198.7</v>
      </c>
      <c r="G345" s="1">
        <v>505.29999999999995</v>
      </c>
      <c r="H345" s="1">
        <v>511.59999999999997</v>
      </c>
      <c r="I345" s="1">
        <v>1344.6</v>
      </c>
      <c r="J345" s="1">
        <v>173.1</v>
      </c>
    </row>
    <row r="346" spans="1:10" x14ac:dyDescent="0.25">
      <c r="A346" s="1" t="s">
        <v>34</v>
      </c>
      <c r="B346" t="s">
        <v>197</v>
      </c>
      <c r="C346" s="1">
        <v>2022</v>
      </c>
      <c r="D346" s="1" t="s">
        <v>41</v>
      </c>
      <c r="E346" s="1">
        <v>2269.2000000000003</v>
      </c>
      <c r="F346" s="1">
        <v>195</v>
      </c>
      <c r="G346" s="1">
        <v>530.70000000000005</v>
      </c>
      <c r="H346" s="1">
        <v>516.29999999999995</v>
      </c>
      <c r="I346" s="1">
        <v>1367.3000000000002</v>
      </c>
      <c r="J346" s="1">
        <v>174.3</v>
      </c>
    </row>
    <row r="347" spans="1:10" x14ac:dyDescent="0.25">
      <c r="A347" s="1" t="s">
        <v>30</v>
      </c>
      <c r="B347" t="s">
        <v>198</v>
      </c>
      <c r="C347" s="1">
        <v>2022</v>
      </c>
      <c r="D347" s="1" t="s">
        <v>42</v>
      </c>
      <c r="E347" s="1">
        <v>2267.8000000000002</v>
      </c>
      <c r="F347" s="1">
        <v>194.5</v>
      </c>
      <c r="G347" s="1">
        <v>552.5</v>
      </c>
      <c r="H347" s="1">
        <v>522.79999999999995</v>
      </c>
      <c r="I347" s="1">
        <v>1393.6</v>
      </c>
      <c r="J347" s="1">
        <v>176.4</v>
      </c>
    </row>
    <row r="348" spans="1:10" x14ac:dyDescent="0.25">
      <c r="A348" s="1" t="s">
        <v>33</v>
      </c>
      <c r="B348" t="s">
        <v>198</v>
      </c>
      <c r="C348" s="1">
        <v>2022</v>
      </c>
      <c r="D348" s="1" t="s">
        <v>42</v>
      </c>
      <c r="E348" s="1">
        <v>2306.4</v>
      </c>
      <c r="F348" s="1">
        <v>199.7</v>
      </c>
      <c r="G348" s="1">
        <v>509.69999999999993</v>
      </c>
      <c r="H348" s="1">
        <v>513.70000000000005</v>
      </c>
      <c r="I348" s="1">
        <v>1350.6000000000001</v>
      </c>
      <c r="J348" s="1">
        <v>174.1</v>
      </c>
    </row>
    <row r="349" spans="1:10" x14ac:dyDescent="0.25">
      <c r="A349" s="1" t="s">
        <v>34</v>
      </c>
      <c r="B349" t="s">
        <v>198</v>
      </c>
      <c r="C349" s="1">
        <v>2022</v>
      </c>
      <c r="D349" s="1" t="s">
        <v>42</v>
      </c>
      <c r="E349" s="1">
        <v>2280.9</v>
      </c>
      <c r="F349" s="1">
        <v>195.9</v>
      </c>
      <c r="G349" s="1">
        <v>535.1</v>
      </c>
      <c r="H349" s="1">
        <v>518.5</v>
      </c>
      <c r="I349" s="1">
        <v>1372.3</v>
      </c>
      <c r="J349" s="1">
        <v>175.3</v>
      </c>
    </row>
    <row r="350" spans="1:10" x14ac:dyDescent="0.25">
      <c r="A350" s="1" t="s">
        <v>30</v>
      </c>
      <c r="B350" t="s">
        <v>199</v>
      </c>
      <c r="C350" s="1">
        <v>2022</v>
      </c>
      <c r="D350" s="1" t="s">
        <v>43</v>
      </c>
      <c r="E350" s="1">
        <v>2284.5</v>
      </c>
      <c r="F350" s="1">
        <v>194.9</v>
      </c>
      <c r="G350" s="1">
        <v>556.4</v>
      </c>
      <c r="H350" s="1">
        <v>526.4</v>
      </c>
      <c r="I350" s="1">
        <v>1399.3</v>
      </c>
      <c r="J350" s="1">
        <v>177.9</v>
      </c>
    </row>
    <row r="351" spans="1:10" x14ac:dyDescent="0.25">
      <c r="A351" s="1" t="s">
        <v>33</v>
      </c>
      <c r="B351" t="s">
        <v>199</v>
      </c>
      <c r="C351" s="1">
        <v>2022</v>
      </c>
      <c r="D351" s="1" t="s">
        <v>43</v>
      </c>
      <c r="E351" s="1">
        <v>2322.3000000000002</v>
      </c>
      <c r="F351" s="1">
        <v>200.1</v>
      </c>
      <c r="G351" s="1">
        <v>511.7</v>
      </c>
      <c r="H351" s="1">
        <v>517.20000000000005</v>
      </c>
      <c r="I351" s="1">
        <v>1356</v>
      </c>
      <c r="J351" s="1">
        <v>175.3</v>
      </c>
    </row>
    <row r="352" spans="1:10" x14ac:dyDescent="0.25">
      <c r="A352" s="1" t="s">
        <v>34</v>
      </c>
      <c r="B352" t="s">
        <v>199</v>
      </c>
      <c r="C352" s="1">
        <v>2022</v>
      </c>
      <c r="D352" s="1" t="s">
        <v>43</v>
      </c>
      <c r="E352" s="1">
        <v>2297.3000000000002</v>
      </c>
      <c r="F352" s="1">
        <v>196.3</v>
      </c>
      <c r="G352" s="1">
        <v>538.20000000000005</v>
      </c>
      <c r="H352" s="1">
        <v>522.1</v>
      </c>
      <c r="I352" s="1">
        <v>1377.9</v>
      </c>
      <c r="J352" s="1">
        <v>176.7</v>
      </c>
    </row>
    <row r="353" spans="1:10" x14ac:dyDescent="0.25">
      <c r="A353" s="1" t="s">
        <v>30</v>
      </c>
      <c r="B353" t="s">
        <v>200</v>
      </c>
      <c r="C353" s="1">
        <v>2022</v>
      </c>
      <c r="D353" s="1" t="s">
        <v>44</v>
      </c>
      <c r="E353" s="1">
        <v>2287.6999999999998</v>
      </c>
      <c r="F353" s="1">
        <v>195.5</v>
      </c>
      <c r="G353" s="1">
        <v>559.29999999999995</v>
      </c>
      <c r="H353" s="1">
        <v>529.20000000000005</v>
      </c>
      <c r="I353" s="1">
        <v>1404.7</v>
      </c>
      <c r="J353" s="1">
        <v>177.8</v>
      </c>
    </row>
    <row r="354" spans="1:10" x14ac:dyDescent="0.25">
      <c r="A354" s="1" t="s">
        <v>33</v>
      </c>
      <c r="B354" t="s">
        <v>200</v>
      </c>
      <c r="C354" s="1">
        <v>2022</v>
      </c>
      <c r="D354" s="1" t="s">
        <v>44</v>
      </c>
      <c r="E354" s="1">
        <v>2314.4</v>
      </c>
      <c r="F354" s="1">
        <v>200.6</v>
      </c>
      <c r="G354" s="1">
        <v>514.90000000000009</v>
      </c>
      <c r="H354" s="1">
        <v>519</v>
      </c>
      <c r="I354" s="1">
        <v>1361.4</v>
      </c>
      <c r="J354" s="1">
        <v>174.1</v>
      </c>
    </row>
    <row r="355" spans="1:10" x14ac:dyDescent="0.25">
      <c r="A355" s="1" t="s">
        <v>34</v>
      </c>
      <c r="B355" t="s">
        <v>200</v>
      </c>
      <c r="C355" s="1">
        <v>2022</v>
      </c>
      <c r="D355" s="1" t="s">
        <v>44</v>
      </c>
      <c r="E355" s="1">
        <v>2296.8000000000002</v>
      </c>
      <c r="F355" s="1">
        <v>196.9</v>
      </c>
      <c r="G355" s="1">
        <v>541.4</v>
      </c>
      <c r="H355" s="1">
        <v>524.5</v>
      </c>
      <c r="I355" s="1">
        <v>1383.2</v>
      </c>
      <c r="J355" s="1">
        <v>176.5</v>
      </c>
    </row>
    <row r="356" spans="1:10" x14ac:dyDescent="0.25">
      <c r="A356" s="1" t="s">
        <v>30</v>
      </c>
      <c r="B356" t="s">
        <v>201</v>
      </c>
      <c r="C356" s="1">
        <v>2022</v>
      </c>
      <c r="D356" s="1" t="s">
        <v>45</v>
      </c>
      <c r="E356" s="1">
        <v>2277.1</v>
      </c>
      <c r="F356" s="1">
        <v>195.9</v>
      </c>
      <c r="G356" s="1">
        <v>561.79999999999995</v>
      </c>
      <c r="H356" s="1">
        <v>529.9</v>
      </c>
      <c r="I356" s="1">
        <v>1411.8</v>
      </c>
      <c r="J356" s="1">
        <v>177.1</v>
      </c>
    </row>
    <row r="357" spans="1:10" x14ac:dyDescent="0.25">
      <c r="A357" s="1" t="s">
        <v>33</v>
      </c>
      <c r="B357" t="s">
        <v>201</v>
      </c>
      <c r="C357" s="1">
        <v>2022</v>
      </c>
      <c r="D357" s="1" t="s">
        <v>45</v>
      </c>
      <c r="E357" s="1">
        <v>2295.7999999999997</v>
      </c>
      <c r="F357" s="1">
        <v>201.1</v>
      </c>
      <c r="G357" s="1">
        <v>517.9</v>
      </c>
      <c r="H357" s="1">
        <v>518.59999999999991</v>
      </c>
      <c r="I357" s="1">
        <v>1368.7</v>
      </c>
      <c r="J357" s="1">
        <v>174.1</v>
      </c>
    </row>
    <row r="358" spans="1:10" x14ac:dyDescent="0.25">
      <c r="A358" s="1" t="s">
        <v>34</v>
      </c>
      <c r="B358" t="s">
        <v>201</v>
      </c>
      <c r="C358" s="1">
        <v>2022</v>
      </c>
      <c r="D358" s="1" t="s">
        <v>45</v>
      </c>
      <c r="E358" s="1">
        <v>2283.4</v>
      </c>
      <c r="F358" s="1">
        <v>197.3</v>
      </c>
      <c r="G358" s="1">
        <v>544</v>
      </c>
      <c r="H358" s="1">
        <v>524.79999999999995</v>
      </c>
      <c r="I358" s="1">
        <v>1390.5</v>
      </c>
      <c r="J358" s="1">
        <v>175.7</v>
      </c>
    </row>
    <row r="359" spans="1:10" x14ac:dyDescent="0.25">
      <c r="A359" s="1" t="s">
        <v>30</v>
      </c>
      <c r="B359" t="s">
        <v>202</v>
      </c>
      <c r="C359" s="1">
        <v>2023</v>
      </c>
      <c r="D359" s="1" t="s">
        <v>31</v>
      </c>
      <c r="E359" s="1">
        <v>2283.2000000000003</v>
      </c>
      <c r="F359" s="1">
        <v>196.9</v>
      </c>
      <c r="G359" s="1">
        <v>563.9</v>
      </c>
      <c r="H359" s="1">
        <v>532.5</v>
      </c>
      <c r="I359" s="1">
        <v>1419.9</v>
      </c>
      <c r="J359" s="1">
        <v>177.8</v>
      </c>
    </row>
    <row r="360" spans="1:10" x14ac:dyDescent="0.25">
      <c r="A360" s="1" t="s">
        <v>33</v>
      </c>
      <c r="B360" t="s">
        <v>202</v>
      </c>
      <c r="C360" s="1">
        <v>2023</v>
      </c>
      <c r="D360" s="1" t="s">
        <v>31</v>
      </c>
      <c r="E360" s="1">
        <v>2310.2000000000003</v>
      </c>
      <c r="F360" s="1">
        <v>201.6</v>
      </c>
      <c r="G360" s="1">
        <v>520.60000000000014</v>
      </c>
      <c r="H360" s="1">
        <v>520.20000000000005</v>
      </c>
      <c r="I360" s="1">
        <v>1375.6</v>
      </c>
      <c r="J360" s="1">
        <v>174.9</v>
      </c>
    </row>
    <row r="361" spans="1:10" x14ac:dyDescent="0.25">
      <c r="A361" s="1" t="s">
        <v>34</v>
      </c>
      <c r="B361" t="s">
        <v>202</v>
      </c>
      <c r="C361" s="1">
        <v>2023</v>
      </c>
      <c r="D361" s="1" t="s">
        <v>31</v>
      </c>
      <c r="E361" s="1">
        <v>2292.6999999999998</v>
      </c>
      <c r="F361" s="1">
        <v>198.2</v>
      </c>
      <c r="G361" s="1">
        <v>546.29999999999995</v>
      </c>
      <c r="H361" s="1">
        <v>527</v>
      </c>
      <c r="I361" s="1">
        <v>1397.6999999999998</v>
      </c>
      <c r="J361" s="1">
        <v>176.5</v>
      </c>
    </row>
    <row r="362" spans="1:10" x14ac:dyDescent="0.25">
      <c r="A362" s="1" t="s">
        <v>30</v>
      </c>
      <c r="B362" t="s">
        <v>203</v>
      </c>
      <c r="C362" s="1">
        <v>2023</v>
      </c>
      <c r="D362" s="1" t="s">
        <v>35</v>
      </c>
      <c r="E362" s="1">
        <v>2265.6999999999998</v>
      </c>
      <c r="F362" s="1">
        <v>198.3</v>
      </c>
      <c r="G362" s="1">
        <v>566.59999999999991</v>
      </c>
      <c r="H362" s="1">
        <v>533.70000000000005</v>
      </c>
      <c r="I362" s="1">
        <v>1430.6</v>
      </c>
      <c r="J362" s="1">
        <v>178</v>
      </c>
    </row>
    <row r="363" spans="1:10" x14ac:dyDescent="0.25">
      <c r="A363" s="1" t="s">
        <v>33</v>
      </c>
      <c r="B363" t="s">
        <v>203</v>
      </c>
      <c r="C363" s="1">
        <v>2023</v>
      </c>
      <c r="D363" s="1" t="s">
        <v>35</v>
      </c>
      <c r="E363" s="1">
        <v>2303.1999999999998</v>
      </c>
      <c r="F363" s="1">
        <v>202.7</v>
      </c>
      <c r="G363" s="1">
        <v>525.5</v>
      </c>
      <c r="H363" s="1">
        <v>525.5</v>
      </c>
      <c r="I363" s="1">
        <v>1386.2</v>
      </c>
      <c r="J363" s="1">
        <v>176.3</v>
      </c>
    </row>
    <row r="364" spans="1:10" x14ac:dyDescent="0.25">
      <c r="A364" s="1" t="s">
        <v>34</v>
      </c>
      <c r="B364" t="s">
        <v>203</v>
      </c>
      <c r="C364" s="1">
        <v>2023</v>
      </c>
      <c r="D364" s="1" t="s">
        <v>35</v>
      </c>
      <c r="E364" s="1">
        <v>2279.1</v>
      </c>
      <c r="F364" s="1">
        <v>199.5</v>
      </c>
      <c r="G364" s="1">
        <v>550</v>
      </c>
      <c r="H364" s="1">
        <v>529.79999999999995</v>
      </c>
      <c r="I364" s="1">
        <v>1408.4</v>
      </c>
      <c r="J364" s="1">
        <v>177.2</v>
      </c>
    </row>
    <row r="365" spans="1:10" x14ac:dyDescent="0.25">
      <c r="A365" s="1" t="s">
        <v>30</v>
      </c>
      <c r="B365" t="s">
        <v>204</v>
      </c>
      <c r="C365" s="1">
        <v>2023</v>
      </c>
      <c r="D365" s="1" t="s">
        <v>36</v>
      </c>
      <c r="E365" s="1">
        <v>2265.8000000000002</v>
      </c>
      <c r="F365" s="1">
        <v>198.4</v>
      </c>
      <c r="G365" s="1">
        <v>566.59999999999991</v>
      </c>
      <c r="H365" s="1">
        <v>533.5</v>
      </c>
      <c r="I365" s="1">
        <v>1430.6</v>
      </c>
      <c r="J365" s="1">
        <v>178</v>
      </c>
    </row>
    <row r="366" spans="1:10" x14ac:dyDescent="0.25">
      <c r="A366" s="1" t="s">
        <v>33</v>
      </c>
      <c r="B366" t="s">
        <v>204</v>
      </c>
      <c r="C366" s="1">
        <v>2023</v>
      </c>
      <c r="D366" s="1" t="s">
        <v>36</v>
      </c>
      <c r="E366" s="1">
        <v>2303.4</v>
      </c>
      <c r="F366" s="1">
        <v>202.7</v>
      </c>
      <c r="G366" s="1">
        <v>525.4</v>
      </c>
      <c r="H366" s="1">
        <v>525.29999999999995</v>
      </c>
      <c r="I366" s="1">
        <v>1386.3</v>
      </c>
      <c r="J366" s="1">
        <v>176.3</v>
      </c>
    </row>
    <row r="367" spans="1:10" x14ac:dyDescent="0.25">
      <c r="A367" s="1" t="s">
        <v>34</v>
      </c>
      <c r="B367" t="s">
        <v>204</v>
      </c>
      <c r="C367" s="1">
        <v>2023</v>
      </c>
      <c r="D367" s="1" t="s">
        <v>36</v>
      </c>
      <c r="E367" s="1">
        <v>2279.1999999999998</v>
      </c>
      <c r="F367" s="1">
        <v>199.5</v>
      </c>
      <c r="G367" s="1">
        <v>549.9</v>
      </c>
      <c r="H367" s="1">
        <v>529.59999999999991</v>
      </c>
      <c r="I367" s="1">
        <v>1408.4</v>
      </c>
      <c r="J367" s="1">
        <v>177.2</v>
      </c>
    </row>
    <row r="368" spans="1:10" x14ac:dyDescent="0.25">
      <c r="A368" s="1" t="s">
        <v>30</v>
      </c>
      <c r="B368" t="s">
        <v>205</v>
      </c>
      <c r="C368" s="1">
        <v>2023</v>
      </c>
      <c r="D368" s="1" t="s">
        <v>37</v>
      </c>
      <c r="E368" s="1">
        <v>2274.1999999999998</v>
      </c>
      <c r="F368" s="1">
        <v>199.5</v>
      </c>
      <c r="G368" s="1">
        <v>568.20000000000005</v>
      </c>
      <c r="H368" s="1">
        <v>535.79999999999995</v>
      </c>
      <c r="I368" s="1">
        <v>1438.5</v>
      </c>
      <c r="J368" s="1">
        <v>178.8</v>
      </c>
    </row>
    <row r="369" spans="1:10" x14ac:dyDescent="0.25">
      <c r="A369" s="1" t="s">
        <v>33</v>
      </c>
      <c r="B369" t="s">
        <v>205</v>
      </c>
      <c r="C369" s="1">
        <v>2023</v>
      </c>
      <c r="D369" s="1" t="s">
        <v>37</v>
      </c>
      <c r="E369" s="1">
        <v>2317.7000000000003</v>
      </c>
      <c r="F369" s="1">
        <v>203.5</v>
      </c>
      <c r="G369" s="1">
        <v>527.6</v>
      </c>
      <c r="H369" s="1">
        <v>526.9</v>
      </c>
      <c r="I369" s="1">
        <v>1395.6</v>
      </c>
      <c r="J369" s="1">
        <v>177.4</v>
      </c>
    </row>
    <row r="370" spans="1:10" x14ac:dyDescent="0.25">
      <c r="A370" s="1" t="s">
        <v>34</v>
      </c>
      <c r="B370" t="s">
        <v>205</v>
      </c>
      <c r="C370" s="1">
        <v>2023</v>
      </c>
      <c r="D370" s="1" t="s">
        <v>37</v>
      </c>
      <c r="E370" s="1">
        <v>2289.6000000000004</v>
      </c>
      <c r="F370" s="1">
        <v>200.6</v>
      </c>
      <c r="G370" s="1">
        <v>551.79999999999995</v>
      </c>
      <c r="H370" s="1">
        <v>531.5</v>
      </c>
      <c r="I370" s="1">
        <v>1417</v>
      </c>
      <c r="J370" s="1">
        <v>178.1</v>
      </c>
    </row>
    <row r="371" spans="1:10" x14ac:dyDescent="0.25">
      <c r="A371" s="1" t="s">
        <v>30</v>
      </c>
      <c r="B371" t="s">
        <v>206</v>
      </c>
      <c r="C371" s="1">
        <v>2023</v>
      </c>
      <c r="D371" s="1" t="s">
        <v>38</v>
      </c>
      <c r="E371" s="1">
        <v>2290.7000000000007</v>
      </c>
      <c r="F371" s="1">
        <v>199.9</v>
      </c>
      <c r="G371" s="1">
        <v>569.90000000000009</v>
      </c>
      <c r="H371" s="1">
        <v>537.90000000000009</v>
      </c>
      <c r="I371" s="1">
        <v>1444.1</v>
      </c>
      <c r="J371" s="1">
        <v>179.8</v>
      </c>
    </row>
    <row r="372" spans="1:10" x14ac:dyDescent="0.25">
      <c r="A372" s="1" t="s">
        <v>33</v>
      </c>
      <c r="B372" t="s">
        <v>206</v>
      </c>
      <c r="C372" s="1">
        <v>2023</v>
      </c>
      <c r="D372" s="1" t="s">
        <v>38</v>
      </c>
      <c r="E372" s="1">
        <v>2335.1</v>
      </c>
      <c r="F372" s="1">
        <v>204.2</v>
      </c>
      <c r="G372" s="1">
        <v>528.70000000000005</v>
      </c>
      <c r="H372" s="1">
        <v>529.1</v>
      </c>
      <c r="I372" s="1">
        <v>1400.8</v>
      </c>
      <c r="J372" s="1">
        <v>178.2</v>
      </c>
    </row>
    <row r="373" spans="1:10" x14ac:dyDescent="0.25">
      <c r="A373" s="1" t="s">
        <v>34</v>
      </c>
      <c r="B373" t="s">
        <v>206</v>
      </c>
      <c r="C373" s="1">
        <v>2023</v>
      </c>
      <c r="D373" s="1" t="s">
        <v>38</v>
      </c>
      <c r="E373" s="1">
        <v>2306.9</v>
      </c>
      <c r="F373" s="1">
        <v>201</v>
      </c>
      <c r="G373" s="1">
        <v>553.20000000000005</v>
      </c>
      <c r="H373" s="1">
        <v>533.59999999999991</v>
      </c>
      <c r="I373" s="1">
        <v>1422.5</v>
      </c>
      <c r="J373" s="1">
        <v>179.1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063B0-5D10-49CE-8B98-689F81386A3E}">
  <dimension ref="A1:J35"/>
  <sheetViews>
    <sheetView showGridLines="0" zoomScale="69" zoomScaleNormal="25" workbookViewId="0">
      <selection activeCell="D4" sqref="D4:I7"/>
    </sheetView>
  </sheetViews>
  <sheetFormatPr defaultRowHeight="12.5" x14ac:dyDescent="0.25"/>
  <cols>
    <col min="2" max="2" width="25.54296875" customWidth="1"/>
    <col min="3" max="3" width="17" customWidth="1"/>
    <col min="4" max="4" width="19.6328125" customWidth="1"/>
    <col min="5" max="5" width="27.36328125" bestFit="1" customWidth="1"/>
    <col min="6" max="6" width="24.453125" customWidth="1"/>
    <col min="7" max="7" width="12.81640625" customWidth="1"/>
    <col min="8" max="8" width="19.453125" customWidth="1"/>
    <col min="9" max="9" width="15.54296875" customWidth="1"/>
    <col min="10" max="10" width="6.81640625" bestFit="1" customWidth="1"/>
    <col min="11" max="11" width="10.90625" customWidth="1"/>
    <col min="12" max="13" width="6.81640625" bestFit="1" customWidth="1"/>
    <col min="14" max="14" width="4.81640625" bestFit="1" customWidth="1"/>
    <col min="15" max="17" width="6.81640625" bestFit="1" customWidth="1"/>
    <col min="18" max="19" width="4.81640625" bestFit="1" customWidth="1"/>
    <col min="20" max="23" width="6.81640625" bestFit="1" customWidth="1"/>
    <col min="24" max="24" width="4.81640625" bestFit="1" customWidth="1"/>
    <col min="25" max="27" width="6.81640625" bestFit="1" customWidth="1"/>
    <col min="28" max="28" width="4.81640625" bestFit="1" customWidth="1"/>
    <col min="29" max="37" width="6.81640625" bestFit="1" customWidth="1"/>
    <col min="38" max="38" width="4.81640625" bestFit="1" customWidth="1"/>
    <col min="39" max="43" width="6.81640625" bestFit="1" customWidth="1"/>
    <col min="44" max="45" width="4.81640625" bestFit="1" customWidth="1"/>
    <col min="46" max="55" width="6.81640625" bestFit="1" customWidth="1"/>
    <col min="56" max="56" width="4.81640625" bestFit="1" customWidth="1"/>
    <col min="57" max="57" width="6.81640625" bestFit="1" customWidth="1"/>
    <col min="58" max="58" width="4.81640625" bestFit="1" customWidth="1"/>
    <col min="59" max="74" width="6.81640625" bestFit="1" customWidth="1"/>
    <col min="75" max="75" width="4.81640625" bestFit="1" customWidth="1"/>
    <col min="76" max="87" width="6.81640625" bestFit="1" customWidth="1"/>
    <col min="88" max="88" width="4.81640625" bestFit="1" customWidth="1"/>
    <col min="89" max="105" width="6.81640625" bestFit="1" customWidth="1"/>
    <col min="106" max="106" width="4.81640625" bestFit="1" customWidth="1"/>
    <col min="107" max="130" width="6.81640625" bestFit="1" customWidth="1"/>
    <col min="131" max="131" width="4.81640625" bestFit="1" customWidth="1"/>
    <col min="132" max="141" width="6.81640625" bestFit="1" customWidth="1"/>
    <col min="142" max="142" width="4.81640625" bestFit="1" customWidth="1"/>
    <col min="143" max="160" width="6.81640625" bestFit="1" customWidth="1"/>
    <col min="161" max="161" width="4.81640625" bestFit="1" customWidth="1"/>
    <col min="162" max="183" width="6.81640625" bestFit="1" customWidth="1"/>
    <col min="184" max="184" width="4.81640625" bestFit="1" customWidth="1"/>
    <col min="185" max="189" width="6.81640625" bestFit="1" customWidth="1"/>
    <col min="190" max="190" width="4.81640625" bestFit="1" customWidth="1"/>
    <col min="191" max="199" width="6.81640625" bestFit="1" customWidth="1"/>
    <col min="200" max="200" width="4.81640625" bestFit="1" customWidth="1"/>
    <col min="201" max="201" width="6.81640625" bestFit="1" customWidth="1"/>
    <col min="202" max="202" width="4.81640625" bestFit="1" customWidth="1"/>
    <col min="203" max="207" width="6.81640625" bestFit="1" customWidth="1"/>
    <col min="208" max="208" width="4.81640625" bestFit="1" customWidth="1"/>
    <col min="209" max="209" width="6.81640625" bestFit="1" customWidth="1"/>
    <col min="210" max="210" width="4.81640625" bestFit="1" customWidth="1"/>
    <col min="211" max="215" width="6.81640625" bestFit="1" customWidth="1"/>
    <col min="216" max="216" width="4.81640625" bestFit="1" customWidth="1"/>
    <col min="217" max="250" width="6.81640625" bestFit="1" customWidth="1"/>
    <col min="251" max="251" width="4.81640625" bestFit="1" customWidth="1"/>
    <col min="252" max="253" width="6.81640625" bestFit="1" customWidth="1"/>
    <col min="254" max="254" width="4.81640625" bestFit="1" customWidth="1"/>
    <col min="255" max="256" width="6.81640625" bestFit="1" customWidth="1"/>
    <col min="257" max="257" width="4.81640625" bestFit="1" customWidth="1"/>
    <col min="258" max="258" width="7.81640625" bestFit="1" customWidth="1"/>
    <col min="259" max="259" width="6.81640625" bestFit="1" customWidth="1"/>
    <col min="260" max="260" width="7.81640625" bestFit="1" customWidth="1"/>
    <col min="261" max="262" width="6.81640625" bestFit="1" customWidth="1"/>
    <col min="263" max="263" width="7.81640625" bestFit="1" customWidth="1"/>
    <col min="264" max="264" width="6.81640625" bestFit="1" customWidth="1"/>
    <col min="265" max="265" width="4.81640625" bestFit="1" customWidth="1"/>
    <col min="266" max="266" width="6.81640625" bestFit="1" customWidth="1"/>
    <col min="267" max="267" width="4.81640625" bestFit="1" customWidth="1"/>
    <col min="268" max="279" width="6.81640625" bestFit="1" customWidth="1"/>
    <col min="280" max="280" width="4.81640625" bestFit="1" customWidth="1"/>
    <col min="281" max="286" width="6.81640625" bestFit="1" customWidth="1"/>
    <col min="287" max="287" width="4.81640625" bestFit="1" customWidth="1"/>
    <col min="288" max="298" width="6.81640625" bestFit="1" customWidth="1"/>
    <col min="299" max="300" width="4.81640625" bestFit="1" customWidth="1"/>
    <col min="301" max="301" width="6.81640625" bestFit="1" customWidth="1"/>
    <col min="302" max="302" width="4.81640625" bestFit="1" customWidth="1"/>
    <col min="303" max="311" width="6.81640625" bestFit="1" customWidth="1"/>
    <col min="312" max="312" width="4.81640625" bestFit="1" customWidth="1"/>
    <col min="313" max="326" width="6.81640625" bestFit="1" customWidth="1"/>
    <col min="327" max="327" width="7.81640625" bestFit="1" customWidth="1"/>
    <col min="328" max="331" width="6.81640625" bestFit="1" customWidth="1"/>
    <col min="332" max="332" width="8.81640625" bestFit="1" customWidth="1"/>
    <col min="333" max="365" width="6.81640625" bestFit="1" customWidth="1"/>
    <col min="366" max="366" width="11.08984375" bestFit="1" customWidth="1"/>
    <col min="367" max="367" width="7.453125" bestFit="1" customWidth="1"/>
    <col min="368" max="368" width="6.81640625" bestFit="1" customWidth="1"/>
    <col min="369" max="369" width="10.26953125" bestFit="1" customWidth="1"/>
    <col min="370" max="370" width="7.453125" bestFit="1" customWidth="1"/>
    <col min="371" max="371" width="6.81640625" bestFit="1" customWidth="1"/>
    <col min="372" max="372" width="10.26953125" bestFit="1" customWidth="1"/>
    <col min="373" max="373" width="7.453125" bestFit="1" customWidth="1"/>
    <col min="374" max="374" width="10.26953125" bestFit="1" customWidth="1"/>
    <col min="375" max="375" width="7.453125" bestFit="1" customWidth="1"/>
    <col min="376" max="376" width="6.81640625" bestFit="1" customWidth="1"/>
    <col min="377" max="377" width="10.26953125" bestFit="1" customWidth="1"/>
    <col min="378" max="378" width="7.453125" bestFit="1" customWidth="1"/>
    <col min="379" max="379" width="10.26953125" bestFit="1" customWidth="1"/>
    <col min="380" max="380" width="7.453125" bestFit="1" customWidth="1"/>
    <col min="381" max="381" width="10.26953125" bestFit="1" customWidth="1"/>
    <col min="382" max="382" width="7.453125" bestFit="1" customWidth="1"/>
    <col min="383" max="383" width="10.26953125" bestFit="1" customWidth="1"/>
    <col min="384" max="384" width="7.453125" bestFit="1" customWidth="1"/>
    <col min="385" max="385" width="10.26953125" bestFit="1" customWidth="1"/>
    <col min="386" max="386" width="6.81640625" bestFit="1" customWidth="1"/>
    <col min="388" max="388" width="7.453125" bestFit="1" customWidth="1"/>
    <col min="389" max="389" width="10.26953125" bestFit="1" customWidth="1"/>
    <col min="390" max="390" width="7.453125" bestFit="1" customWidth="1"/>
    <col min="391" max="391" width="10.26953125" bestFit="1" customWidth="1"/>
    <col min="392" max="392" width="7.453125" bestFit="1" customWidth="1"/>
    <col min="393" max="393" width="10.26953125" bestFit="1" customWidth="1"/>
    <col min="394" max="394" width="7.453125" bestFit="1" customWidth="1"/>
    <col min="395" max="395" width="10.26953125" bestFit="1" customWidth="1"/>
    <col min="396" max="396" width="7.453125" bestFit="1" customWidth="1"/>
    <col min="397" max="397" width="6.81640625" bestFit="1" customWidth="1"/>
    <col min="398" max="398" width="10.26953125" bestFit="1" customWidth="1"/>
    <col min="399" max="399" width="7.453125" bestFit="1" customWidth="1"/>
    <col min="400" max="400" width="10.26953125" bestFit="1" customWidth="1"/>
    <col min="401" max="401" width="7.453125" bestFit="1" customWidth="1"/>
    <col min="402" max="402" width="10.26953125" bestFit="1" customWidth="1"/>
    <col min="403" max="403" width="7.453125" bestFit="1" customWidth="1"/>
    <col min="404" max="404" width="10.26953125" bestFit="1" customWidth="1"/>
    <col min="405" max="405" width="6.81640625" bestFit="1" customWidth="1"/>
    <col min="407" max="407" width="7.453125" bestFit="1" customWidth="1"/>
    <col min="408" max="408" width="10.26953125" bestFit="1" customWidth="1"/>
    <col min="409" max="409" width="7.453125" bestFit="1" customWidth="1"/>
    <col min="410" max="410" width="6.81640625" bestFit="1" customWidth="1"/>
    <col min="411" max="411" width="10.26953125" bestFit="1" customWidth="1"/>
    <col min="412" max="412" width="7.453125" bestFit="1" customWidth="1"/>
    <col min="413" max="413" width="10.26953125" bestFit="1" customWidth="1"/>
    <col min="414" max="414" width="7.453125" bestFit="1" customWidth="1"/>
    <col min="415" max="415" width="10.26953125" bestFit="1" customWidth="1"/>
    <col min="416" max="416" width="6.81640625" bestFit="1" customWidth="1"/>
    <col min="418" max="418" width="7.453125" bestFit="1" customWidth="1"/>
    <col min="419" max="419" width="10.26953125" bestFit="1" customWidth="1"/>
    <col min="420" max="420" width="7.453125" bestFit="1" customWidth="1"/>
    <col min="421" max="421" width="10.26953125" bestFit="1" customWidth="1"/>
    <col min="422" max="422" width="7.453125" bestFit="1" customWidth="1"/>
    <col min="423" max="423" width="10.26953125" bestFit="1" customWidth="1"/>
    <col min="424" max="424" width="7.453125" bestFit="1" customWidth="1"/>
    <col min="425" max="425" width="10.26953125" bestFit="1" customWidth="1"/>
    <col min="426" max="426" width="7.453125" bestFit="1" customWidth="1"/>
    <col min="427" max="427" width="10.26953125" bestFit="1" customWidth="1"/>
    <col min="428" max="428" width="7.453125" bestFit="1" customWidth="1"/>
    <col min="429" max="429" width="10.26953125" bestFit="1" customWidth="1"/>
    <col min="430" max="430" width="7.453125" bestFit="1" customWidth="1"/>
    <col min="431" max="431" width="6.81640625" bestFit="1" customWidth="1"/>
    <col min="432" max="432" width="10.26953125" bestFit="1" customWidth="1"/>
    <col min="433" max="433" width="7.453125" bestFit="1" customWidth="1"/>
    <col min="434" max="434" width="10.26953125" bestFit="1" customWidth="1"/>
    <col min="435" max="435" width="7.453125" bestFit="1" customWidth="1"/>
    <col min="436" max="436" width="10.26953125" bestFit="1" customWidth="1"/>
    <col min="437" max="437" width="7.453125" bestFit="1" customWidth="1"/>
    <col min="438" max="438" width="10.26953125" bestFit="1" customWidth="1"/>
    <col min="439" max="439" width="7.453125" bestFit="1" customWidth="1"/>
    <col min="440" max="440" width="10.26953125" bestFit="1" customWidth="1"/>
    <col min="441" max="441" width="7.453125" bestFit="1" customWidth="1"/>
    <col min="442" max="442" width="10.26953125" bestFit="1" customWidth="1"/>
    <col min="443" max="443" width="7.453125" bestFit="1" customWidth="1"/>
    <col min="444" max="444" width="10.26953125" bestFit="1" customWidth="1"/>
    <col min="445" max="445" width="7.453125" bestFit="1" customWidth="1"/>
    <col min="446" max="446" width="10.26953125" bestFit="1" customWidth="1"/>
    <col min="447" max="447" width="7.453125" bestFit="1" customWidth="1"/>
    <col min="448" max="448" width="10.26953125" bestFit="1" customWidth="1"/>
    <col min="449" max="449" width="7.453125" bestFit="1" customWidth="1"/>
    <col min="450" max="450" width="10.26953125" bestFit="1" customWidth="1"/>
    <col min="451" max="451" width="7.453125" bestFit="1" customWidth="1"/>
    <col min="452" max="452" width="10.26953125" bestFit="1" customWidth="1"/>
    <col min="453" max="453" width="7.453125" bestFit="1" customWidth="1"/>
    <col min="454" max="454" width="6.81640625" bestFit="1" customWidth="1"/>
    <col min="455" max="455" width="10.26953125" bestFit="1" customWidth="1"/>
    <col min="456" max="456" width="7.453125" bestFit="1" customWidth="1"/>
    <col min="457" max="457" width="10.26953125" bestFit="1" customWidth="1"/>
    <col min="458" max="458" width="7.453125" bestFit="1" customWidth="1"/>
    <col min="459" max="459" width="6.81640625" bestFit="1" customWidth="1"/>
    <col min="460" max="460" width="10.26953125" bestFit="1" customWidth="1"/>
    <col min="461" max="461" width="7.453125" bestFit="1" customWidth="1"/>
    <col min="462" max="462" width="10.26953125" bestFit="1" customWidth="1"/>
    <col min="463" max="463" width="7.453125" bestFit="1" customWidth="1"/>
    <col min="464" max="464" width="6.81640625" bestFit="1" customWidth="1"/>
    <col min="465" max="465" width="10.26953125" bestFit="1" customWidth="1"/>
    <col min="466" max="466" width="7.453125" bestFit="1" customWidth="1"/>
    <col min="467" max="467" width="10.26953125" bestFit="1" customWidth="1"/>
    <col min="468" max="468" width="7.453125" bestFit="1" customWidth="1"/>
    <col min="469" max="469" width="10.26953125" bestFit="1" customWidth="1"/>
    <col min="470" max="470" width="7.453125" bestFit="1" customWidth="1"/>
    <col min="471" max="471" width="10.26953125" bestFit="1" customWidth="1"/>
    <col min="472" max="472" width="7.453125" bestFit="1" customWidth="1"/>
    <col min="473" max="473" width="10.26953125" bestFit="1" customWidth="1"/>
    <col min="474" max="474" width="7.453125" bestFit="1" customWidth="1"/>
    <col min="475" max="475" width="10.26953125" bestFit="1" customWidth="1"/>
    <col min="476" max="476" width="7.453125" bestFit="1" customWidth="1"/>
    <col min="477" max="477" width="10.26953125" bestFit="1" customWidth="1"/>
    <col min="478" max="478" width="7.453125" bestFit="1" customWidth="1"/>
    <col min="479" max="479" width="10.26953125" bestFit="1" customWidth="1"/>
    <col min="480" max="480" width="7.453125" bestFit="1" customWidth="1"/>
    <col min="481" max="481" width="10.26953125" bestFit="1" customWidth="1"/>
    <col min="482" max="482" width="7.453125" bestFit="1" customWidth="1"/>
    <col min="483" max="483" width="10.26953125" bestFit="1" customWidth="1"/>
    <col min="484" max="484" width="6.81640625" bestFit="1" customWidth="1"/>
    <col min="486" max="486" width="7.453125" bestFit="1" customWidth="1"/>
    <col min="487" max="487" width="10.26953125" bestFit="1" customWidth="1"/>
    <col min="488" max="488" width="8.453125" bestFit="1" customWidth="1"/>
    <col min="489" max="489" width="11.26953125" bestFit="1" customWidth="1"/>
    <col min="490" max="492" width="7.81640625" bestFit="1" customWidth="1"/>
    <col min="493" max="493" width="6.81640625" bestFit="1" customWidth="1"/>
    <col min="495" max="495" width="7.453125" bestFit="1" customWidth="1"/>
    <col min="496" max="496" width="10.26953125" bestFit="1" customWidth="1"/>
    <col min="497" max="497" width="8.81640625" bestFit="1" customWidth="1"/>
    <col min="498" max="498" width="11.26953125" bestFit="1" customWidth="1"/>
    <col min="499" max="499" width="7.453125" bestFit="1" customWidth="1"/>
    <col min="500" max="500" width="10.26953125" bestFit="1" customWidth="1"/>
    <col min="501" max="501" width="7.453125" bestFit="1" customWidth="1"/>
    <col min="502" max="502" width="10.26953125" bestFit="1" customWidth="1"/>
    <col min="503" max="503" width="7.453125" bestFit="1" customWidth="1"/>
    <col min="504" max="504" width="10.26953125" bestFit="1" customWidth="1"/>
    <col min="505" max="505" width="7.453125" bestFit="1" customWidth="1"/>
    <col min="506" max="506" width="10.26953125" bestFit="1" customWidth="1"/>
    <col min="507" max="507" width="7.453125" bestFit="1" customWidth="1"/>
    <col min="508" max="508" width="10.26953125" bestFit="1" customWidth="1"/>
    <col min="509" max="509" width="7.453125" bestFit="1" customWidth="1"/>
    <col min="510" max="510" width="10.26953125" bestFit="1" customWidth="1"/>
    <col min="511" max="511" width="7.453125" bestFit="1" customWidth="1"/>
    <col min="512" max="512" width="10.26953125" bestFit="1" customWidth="1"/>
    <col min="513" max="513" width="7.453125" bestFit="1" customWidth="1"/>
    <col min="514" max="514" width="10.26953125" bestFit="1" customWidth="1"/>
    <col min="515" max="515" width="7.453125" bestFit="1" customWidth="1"/>
    <col min="516" max="516" width="10.26953125" bestFit="1" customWidth="1"/>
    <col min="517" max="517" width="7.453125" bestFit="1" customWidth="1"/>
    <col min="518" max="518" width="10.26953125" bestFit="1" customWidth="1"/>
    <col min="519" max="519" width="7.453125" bestFit="1" customWidth="1"/>
    <col min="520" max="520" width="10.26953125" bestFit="1" customWidth="1"/>
    <col min="521" max="521" width="7.453125" bestFit="1" customWidth="1"/>
    <col min="522" max="522" width="10.26953125" bestFit="1" customWidth="1"/>
    <col min="523" max="523" width="7.453125" bestFit="1" customWidth="1"/>
    <col min="524" max="524" width="10.26953125" bestFit="1" customWidth="1"/>
    <col min="525" max="525" width="7.453125" bestFit="1" customWidth="1"/>
    <col min="526" max="526" width="6.81640625" bestFit="1" customWidth="1"/>
    <col min="527" max="527" width="10.26953125" bestFit="1" customWidth="1"/>
    <col min="528" max="528" width="7.453125" bestFit="1" customWidth="1"/>
    <col min="529" max="529" width="10.26953125" bestFit="1" customWidth="1"/>
    <col min="530" max="530" width="7.453125" bestFit="1" customWidth="1"/>
    <col min="531" max="531" width="10.26953125" bestFit="1" customWidth="1"/>
    <col min="532" max="532" width="7.453125" bestFit="1" customWidth="1"/>
    <col min="533" max="533" width="10.26953125" bestFit="1" customWidth="1"/>
    <col min="534" max="534" width="7.453125" bestFit="1" customWidth="1"/>
    <col min="535" max="535" width="10.26953125" bestFit="1" customWidth="1"/>
    <col min="536" max="536" width="7.453125" bestFit="1" customWidth="1"/>
    <col min="537" max="537" width="10.26953125" bestFit="1" customWidth="1"/>
    <col min="538" max="538" width="7.453125" bestFit="1" customWidth="1"/>
    <col min="539" max="539" width="6.81640625" bestFit="1" customWidth="1"/>
    <col min="540" max="540" width="10.26953125" bestFit="1" customWidth="1"/>
    <col min="541" max="541" width="7.453125" bestFit="1" customWidth="1"/>
    <col min="542" max="542" width="6.81640625" bestFit="1" customWidth="1"/>
    <col min="543" max="543" width="10.26953125" bestFit="1" customWidth="1"/>
    <col min="544" max="544" width="7.453125" bestFit="1" customWidth="1"/>
    <col min="545" max="545" width="10.26953125" bestFit="1" customWidth="1"/>
    <col min="546" max="546" width="7.453125" bestFit="1" customWidth="1"/>
    <col min="547" max="547" width="10.26953125" bestFit="1" customWidth="1"/>
    <col min="548" max="548" width="7.453125" bestFit="1" customWidth="1"/>
    <col min="549" max="549" width="10.26953125" bestFit="1" customWidth="1"/>
    <col min="550" max="550" width="7.453125" bestFit="1" customWidth="1"/>
    <col min="551" max="551" width="6.81640625" bestFit="1" customWidth="1"/>
    <col min="552" max="552" width="10.26953125" bestFit="1" customWidth="1"/>
    <col min="553" max="553" width="7.453125" bestFit="1" customWidth="1"/>
    <col min="554" max="554" width="10.26953125" bestFit="1" customWidth="1"/>
    <col min="555" max="555" width="7.453125" bestFit="1" customWidth="1"/>
    <col min="556" max="556" width="10.26953125" bestFit="1" customWidth="1"/>
    <col min="557" max="557" width="7.453125" bestFit="1" customWidth="1"/>
    <col min="558" max="558" width="6.81640625" bestFit="1" customWidth="1"/>
    <col min="559" max="559" width="10.26953125" bestFit="1" customWidth="1"/>
    <col min="560" max="560" width="7.453125" bestFit="1" customWidth="1"/>
    <col min="561" max="561" width="6.81640625" bestFit="1" customWidth="1"/>
    <col min="562" max="562" width="10.26953125" bestFit="1" customWidth="1"/>
    <col min="563" max="563" width="7.453125" bestFit="1" customWidth="1"/>
    <col min="564" max="564" width="10.26953125" bestFit="1" customWidth="1"/>
    <col min="565" max="565" width="7.453125" bestFit="1" customWidth="1"/>
    <col min="566" max="566" width="10.26953125" bestFit="1" customWidth="1"/>
    <col min="567" max="567" width="7.453125" bestFit="1" customWidth="1"/>
    <col min="568" max="568" width="10.26953125" bestFit="1" customWidth="1"/>
    <col min="569" max="569" width="7.453125" bestFit="1" customWidth="1"/>
    <col min="570" max="570" width="10.26953125" bestFit="1" customWidth="1"/>
    <col min="571" max="571" width="7.453125" bestFit="1" customWidth="1"/>
    <col min="572" max="572" width="10.26953125" bestFit="1" customWidth="1"/>
    <col min="573" max="573" width="7.453125" bestFit="1" customWidth="1"/>
    <col min="574" max="574" width="10.26953125" bestFit="1" customWidth="1"/>
    <col min="575" max="575" width="7.453125" bestFit="1" customWidth="1"/>
    <col min="576" max="576" width="10.26953125" bestFit="1" customWidth="1"/>
    <col min="577" max="577" width="7.453125" bestFit="1" customWidth="1"/>
    <col min="578" max="578" width="10.26953125" bestFit="1" customWidth="1"/>
    <col min="579" max="579" width="7.453125" bestFit="1" customWidth="1"/>
    <col min="580" max="580" width="10.26953125" bestFit="1" customWidth="1"/>
    <col min="581" max="581" width="7.453125" bestFit="1" customWidth="1"/>
    <col min="582" max="582" width="6.81640625" bestFit="1" customWidth="1"/>
    <col min="583" max="583" width="10.26953125" bestFit="1" customWidth="1"/>
    <col min="584" max="584" width="7.453125" bestFit="1" customWidth="1"/>
    <col min="585" max="586" width="6.81640625" bestFit="1" customWidth="1"/>
    <col min="587" max="587" width="10.26953125" bestFit="1" customWidth="1"/>
    <col min="588" max="588" width="7.453125" bestFit="1" customWidth="1"/>
    <col min="589" max="589" width="10.26953125" bestFit="1" customWidth="1"/>
    <col min="590" max="590" width="7.453125" bestFit="1" customWidth="1"/>
    <col min="591" max="591" width="10.26953125" bestFit="1" customWidth="1"/>
    <col min="592" max="592" width="7.453125" bestFit="1" customWidth="1"/>
    <col min="593" max="593" width="10.26953125" bestFit="1" customWidth="1"/>
    <col min="594" max="594" width="7.453125" bestFit="1" customWidth="1"/>
    <col min="595" max="595" width="6.81640625" bestFit="1" customWidth="1"/>
    <col min="596" max="596" width="10.26953125" bestFit="1" customWidth="1"/>
    <col min="597" max="597" width="7.453125" bestFit="1" customWidth="1"/>
    <col min="598" max="598" width="10.26953125" bestFit="1" customWidth="1"/>
    <col min="599" max="599" width="7.453125" bestFit="1" customWidth="1"/>
    <col min="600" max="600" width="10.26953125" bestFit="1" customWidth="1"/>
    <col min="601" max="601" width="7.453125" bestFit="1" customWidth="1"/>
    <col min="602" max="602" width="10.26953125" bestFit="1" customWidth="1"/>
    <col min="603" max="603" width="7.453125" bestFit="1" customWidth="1"/>
    <col min="604" max="604" width="10.26953125" bestFit="1" customWidth="1"/>
    <col min="605" max="605" width="7.453125" bestFit="1" customWidth="1"/>
    <col min="606" max="606" width="10.26953125" bestFit="1" customWidth="1"/>
    <col min="607" max="607" width="7.453125" bestFit="1" customWidth="1"/>
    <col min="608" max="608" width="10.26953125" bestFit="1" customWidth="1"/>
    <col min="609" max="609" width="7.453125" bestFit="1" customWidth="1"/>
    <col min="610" max="610" width="10.26953125" bestFit="1" customWidth="1"/>
    <col min="611" max="611" width="6.81640625" bestFit="1" customWidth="1"/>
    <col min="613" max="613" width="7.453125" bestFit="1" customWidth="1"/>
    <col min="614" max="614" width="6.81640625" bestFit="1" customWidth="1"/>
    <col min="615" max="615" width="10.26953125" bestFit="1" customWidth="1"/>
    <col min="616" max="616" width="7.453125" bestFit="1" customWidth="1"/>
    <col min="617" max="617" width="10.26953125" bestFit="1" customWidth="1"/>
    <col min="618" max="618" width="7.453125" bestFit="1" customWidth="1"/>
    <col min="619" max="619" width="6.81640625" bestFit="1" customWidth="1"/>
    <col min="620" max="620" width="10.26953125" bestFit="1" customWidth="1"/>
    <col min="621" max="621" width="7.453125" bestFit="1" customWidth="1"/>
    <col min="622" max="622" width="10.26953125" bestFit="1" customWidth="1"/>
    <col min="623" max="623" width="7.453125" bestFit="1" customWidth="1"/>
    <col min="624" max="624" width="10.26953125" bestFit="1" customWidth="1"/>
    <col min="625" max="625" width="7.453125" bestFit="1" customWidth="1"/>
    <col min="626" max="626" width="6.81640625" bestFit="1" customWidth="1"/>
    <col min="627" max="627" width="10.26953125" bestFit="1" customWidth="1"/>
    <col min="628" max="628" width="7.453125" bestFit="1" customWidth="1"/>
    <col min="629" max="629" width="10.26953125" bestFit="1" customWidth="1"/>
    <col min="630" max="630" width="7.453125" bestFit="1" customWidth="1"/>
    <col min="631" max="631" width="6.81640625" bestFit="1" customWidth="1"/>
    <col min="632" max="632" width="10.26953125" bestFit="1" customWidth="1"/>
    <col min="633" max="634" width="6.81640625" bestFit="1" customWidth="1"/>
    <col min="636" max="636" width="7.453125" bestFit="1" customWidth="1"/>
    <col min="637" max="637" width="10.26953125" bestFit="1" customWidth="1"/>
    <col min="638" max="638" width="7.453125" bestFit="1" customWidth="1"/>
    <col min="639" max="639" width="10.26953125" bestFit="1" customWidth="1"/>
    <col min="640" max="640" width="7.453125" bestFit="1" customWidth="1"/>
    <col min="641" max="641" width="6.81640625" bestFit="1" customWidth="1"/>
    <col min="642" max="642" width="10.26953125" bestFit="1" customWidth="1"/>
    <col min="643" max="643" width="7.453125" bestFit="1" customWidth="1"/>
    <col min="644" max="644" width="6.81640625" bestFit="1" customWidth="1"/>
    <col min="645" max="645" width="10.26953125" bestFit="1" customWidth="1"/>
    <col min="646" max="646" width="7.453125" bestFit="1" customWidth="1"/>
    <col min="647" max="647" width="6.81640625" bestFit="1" customWidth="1"/>
    <col min="648" max="648" width="10.26953125" bestFit="1" customWidth="1"/>
    <col min="649" max="649" width="7.453125" bestFit="1" customWidth="1"/>
    <col min="650" max="650" width="10.26953125" bestFit="1" customWidth="1"/>
    <col min="651" max="651" width="7.453125" bestFit="1" customWidth="1"/>
    <col min="652" max="652" width="10.26953125" bestFit="1" customWidth="1"/>
    <col min="653" max="653" width="7.453125" bestFit="1" customWidth="1"/>
    <col min="654" max="654" width="10.26953125" bestFit="1" customWidth="1"/>
    <col min="655" max="655" width="7.453125" bestFit="1" customWidth="1"/>
    <col min="656" max="657" width="6.81640625" bestFit="1" customWidth="1"/>
    <col min="658" max="658" width="10.26953125" bestFit="1" customWidth="1"/>
    <col min="659" max="659" width="7.453125" bestFit="1" customWidth="1"/>
    <col min="660" max="660" width="10.26953125" bestFit="1" customWidth="1"/>
    <col min="661" max="661" width="7.453125" bestFit="1" customWidth="1"/>
    <col min="662" max="662" width="10.26953125" bestFit="1" customWidth="1"/>
    <col min="663" max="663" width="7.453125" bestFit="1" customWidth="1"/>
    <col min="664" max="664" width="10.26953125" bestFit="1" customWidth="1"/>
    <col min="665" max="665" width="7.453125" bestFit="1" customWidth="1"/>
    <col min="666" max="666" width="6.81640625" bestFit="1" customWidth="1"/>
    <col min="667" max="667" width="10.26953125" bestFit="1" customWidth="1"/>
    <col min="668" max="668" width="6.81640625" bestFit="1" customWidth="1"/>
    <col min="670" max="670" width="7.453125" bestFit="1" customWidth="1"/>
    <col min="671" max="671" width="10.26953125" bestFit="1" customWidth="1"/>
    <col min="672" max="672" width="7.453125" bestFit="1" customWidth="1"/>
    <col min="673" max="673" width="10.26953125" bestFit="1" customWidth="1"/>
    <col min="674" max="674" width="7.453125" bestFit="1" customWidth="1"/>
    <col min="675" max="675" width="6.81640625" bestFit="1" customWidth="1"/>
    <col min="676" max="676" width="10.26953125" bestFit="1" customWidth="1"/>
    <col min="677" max="677" width="7.453125" bestFit="1" customWidth="1"/>
    <col min="678" max="678" width="10.26953125" bestFit="1" customWidth="1"/>
    <col min="679" max="679" width="7.453125" bestFit="1" customWidth="1"/>
    <col min="680" max="680" width="10.26953125" bestFit="1" customWidth="1"/>
    <col min="681" max="681" width="11.08984375" bestFit="1" customWidth="1"/>
  </cols>
  <sheetData>
    <row r="1" spans="1:10" ht="15.5" x14ac:dyDescent="0.35">
      <c r="A1" s="19"/>
      <c r="B1" s="33" t="s">
        <v>232</v>
      </c>
      <c r="C1" s="32" t="s">
        <v>295</v>
      </c>
    </row>
    <row r="4" spans="1:10" ht="13" x14ac:dyDescent="0.3">
      <c r="B4" s="2" t="s">
        <v>0</v>
      </c>
      <c r="C4" s="2" t="s">
        <v>82</v>
      </c>
      <c r="D4" s="2" t="s">
        <v>15</v>
      </c>
      <c r="E4" s="2" t="s">
        <v>16</v>
      </c>
      <c r="F4" s="2" t="s">
        <v>216</v>
      </c>
      <c r="G4" s="2" t="s">
        <v>20</v>
      </c>
      <c r="H4" s="2" t="s">
        <v>28</v>
      </c>
      <c r="I4" s="2" t="s">
        <v>29</v>
      </c>
      <c r="J4" s="28"/>
    </row>
    <row r="5" spans="1:10" x14ac:dyDescent="0.25">
      <c r="B5" s="1" t="s">
        <v>30</v>
      </c>
      <c r="C5" t="s">
        <v>206</v>
      </c>
      <c r="D5" s="1">
        <v>2290.7000000000007</v>
      </c>
      <c r="E5" s="1">
        <v>199.9</v>
      </c>
      <c r="F5" s="1">
        <v>569.90000000000009</v>
      </c>
      <c r="G5" s="1">
        <v>537.90000000000009</v>
      </c>
      <c r="H5" s="1">
        <v>1444.1</v>
      </c>
      <c r="I5" s="1">
        <v>179.8</v>
      </c>
      <c r="J5" s="1"/>
    </row>
    <row r="6" spans="1:10" x14ac:dyDescent="0.25">
      <c r="B6" s="1" t="s">
        <v>33</v>
      </c>
      <c r="C6" t="s">
        <v>206</v>
      </c>
      <c r="D6" s="1">
        <v>2335.1</v>
      </c>
      <c r="E6" s="1">
        <v>204.2</v>
      </c>
      <c r="F6" s="1">
        <v>528.70000000000005</v>
      </c>
      <c r="G6" s="1">
        <v>529.1</v>
      </c>
      <c r="H6" s="1">
        <v>1400.8</v>
      </c>
      <c r="I6" s="1">
        <v>178.2</v>
      </c>
      <c r="J6" s="1"/>
    </row>
    <row r="7" spans="1:10" x14ac:dyDescent="0.25">
      <c r="B7" s="1" t="s">
        <v>34</v>
      </c>
      <c r="C7" t="s">
        <v>206</v>
      </c>
      <c r="D7" s="1">
        <v>2306.9</v>
      </c>
      <c r="E7" s="1">
        <v>201</v>
      </c>
      <c r="F7" s="1">
        <v>553.20000000000005</v>
      </c>
      <c r="G7" s="1">
        <v>533.59999999999991</v>
      </c>
      <c r="H7" s="1">
        <v>1422.5</v>
      </c>
      <c r="I7" s="1">
        <v>179.1</v>
      </c>
      <c r="J7" s="1"/>
    </row>
    <row r="10" spans="1:10" ht="13" x14ac:dyDescent="0.3">
      <c r="B10" s="19" t="s">
        <v>226</v>
      </c>
    </row>
    <row r="11" spans="1:10" ht="13" x14ac:dyDescent="0.3">
      <c r="B11" s="29" t="s">
        <v>217</v>
      </c>
      <c r="C11" s="29" t="s">
        <v>218</v>
      </c>
      <c r="D11" s="29" t="s">
        <v>219</v>
      </c>
    </row>
    <row r="12" spans="1:10" x14ac:dyDescent="0.25">
      <c r="B12" t="s">
        <v>15</v>
      </c>
      <c r="C12" s="35">
        <f>AVERAGEIFS($D$7:$I$7,$D$4:$I$4,$B12)</f>
        <v>2306.9</v>
      </c>
      <c r="D12" s="30">
        <f>C12/$C$17*100</f>
        <v>45.979829386909024</v>
      </c>
    </row>
    <row r="13" spans="1:10" x14ac:dyDescent="0.25">
      <c r="B13" t="s">
        <v>16</v>
      </c>
      <c r="C13" s="35">
        <f t="shared" ref="C13:C16" si="0">AVERAGEIFS($D$7:$I$7,$D$4:$I$4,$B13)</f>
        <v>201</v>
      </c>
      <c r="D13" s="30">
        <f>C13/$C$17*100</f>
        <v>4.0062186079885187</v>
      </c>
    </row>
    <row r="14" spans="1:10" x14ac:dyDescent="0.25">
      <c r="B14" t="s">
        <v>216</v>
      </c>
      <c r="C14" s="35">
        <f t="shared" si="0"/>
        <v>553.20000000000005</v>
      </c>
      <c r="D14" s="30">
        <f>C14/$C$17*100</f>
        <v>11.026070318105715</v>
      </c>
    </row>
    <row r="15" spans="1:10" x14ac:dyDescent="0.25">
      <c r="B15" t="s">
        <v>20</v>
      </c>
      <c r="C15" s="35">
        <f t="shared" si="0"/>
        <v>533.59999999999991</v>
      </c>
      <c r="D15" s="30">
        <f>C15/$C$17*100</f>
        <v>10.63541417523718</v>
      </c>
    </row>
    <row r="16" spans="1:10" x14ac:dyDescent="0.25">
      <c r="B16" t="s">
        <v>28</v>
      </c>
      <c r="C16" s="35">
        <f t="shared" si="0"/>
        <v>1422.5</v>
      </c>
      <c r="D16" s="30">
        <f>C16/$C$17*100</f>
        <v>28.352467511759542</v>
      </c>
    </row>
    <row r="17" spans="2:5" ht="13" x14ac:dyDescent="0.3">
      <c r="B17" s="29" t="s">
        <v>220</v>
      </c>
      <c r="C17" s="31">
        <f>SUM(C12:C16)</f>
        <v>5017.2000000000007</v>
      </c>
      <c r="D17" s="29">
        <f>C17/C17*100</f>
        <v>100</v>
      </c>
    </row>
    <row r="32" spans="2:5" ht="13" x14ac:dyDescent="0.3">
      <c r="E32" s="31" t="s">
        <v>221</v>
      </c>
    </row>
    <row r="33" spans="5:5" ht="13" x14ac:dyDescent="0.3">
      <c r="E33" s="19" t="s">
        <v>224</v>
      </c>
    </row>
    <row r="34" spans="5:5" ht="13" x14ac:dyDescent="0.3">
      <c r="E34" s="19" t="s">
        <v>222</v>
      </c>
    </row>
    <row r="35" spans="5:5" ht="13" x14ac:dyDescent="0.3">
      <c r="E35" s="19" t="s">
        <v>223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46134-CF17-44BE-9BA5-15BF1AD325CC}">
  <dimension ref="B1:L129"/>
  <sheetViews>
    <sheetView showGridLines="0" topLeftCell="A13" zoomScale="73" workbookViewId="0">
      <selection activeCell="I9" sqref="I9"/>
    </sheetView>
  </sheetViews>
  <sheetFormatPr defaultRowHeight="12.5" x14ac:dyDescent="0.25"/>
  <cols>
    <col min="2" max="2" width="13" customWidth="1"/>
    <col min="3" max="3" width="10.26953125" customWidth="1"/>
    <col min="5" max="5" width="15.6328125" customWidth="1"/>
    <col min="9" max="9" width="10.90625" customWidth="1"/>
  </cols>
  <sheetData>
    <row r="1" spans="2:10" ht="15.5" x14ac:dyDescent="0.35">
      <c r="B1" s="87" t="s">
        <v>231</v>
      </c>
      <c r="C1" s="87"/>
      <c r="D1" s="87"/>
      <c r="E1" s="32" t="s">
        <v>230</v>
      </c>
    </row>
    <row r="4" spans="2:10" ht="13" x14ac:dyDescent="0.3">
      <c r="B4" s="86" t="s">
        <v>229</v>
      </c>
      <c r="C4" s="86"/>
      <c r="D4" s="86"/>
      <c r="E4" s="86"/>
      <c r="G4" s="85" t="s">
        <v>228</v>
      </c>
      <c r="H4" s="85"/>
      <c r="I4" s="85"/>
      <c r="J4" s="85"/>
    </row>
    <row r="5" spans="2:10" ht="13" x14ac:dyDescent="0.3">
      <c r="B5" s="2" t="s">
        <v>0</v>
      </c>
      <c r="C5" s="2" t="s">
        <v>1</v>
      </c>
      <c r="D5" s="2" t="s">
        <v>2</v>
      </c>
      <c r="E5" s="2" t="s">
        <v>29</v>
      </c>
      <c r="G5" s="2" t="s">
        <v>1</v>
      </c>
      <c r="H5" s="2" t="s">
        <v>31</v>
      </c>
      <c r="I5" s="2" t="s">
        <v>45</v>
      </c>
      <c r="J5" s="2" t="s">
        <v>225</v>
      </c>
    </row>
    <row r="6" spans="2:10" x14ac:dyDescent="0.25">
      <c r="B6" s="1" t="s">
        <v>34</v>
      </c>
      <c r="C6" s="1">
        <v>2013</v>
      </c>
      <c r="D6" s="1" t="s">
        <v>31</v>
      </c>
      <c r="E6" s="1">
        <v>104.6</v>
      </c>
      <c r="G6">
        <v>2017</v>
      </c>
      <c r="H6" s="34">
        <f>AVERAGEIFS($E$6:$E$129,$C$6:$C$129,$G6,$D$6:$D$129,H$5)</f>
        <v>130.30000000000001</v>
      </c>
      <c r="I6">
        <f t="shared" ref="I6:I11" si="0">AVERAGEIFS($E$6:$E$129,$C$6:$C$129,$G6,$D$6:$D$129,I$5)</f>
        <v>137.19999999999999</v>
      </c>
      <c r="J6" s="36">
        <f>($I6-$H6)/$H6</f>
        <v>5.295471987720627E-2</v>
      </c>
    </row>
    <row r="7" spans="2:10" x14ac:dyDescent="0.25">
      <c r="B7" s="1" t="s">
        <v>34</v>
      </c>
      <c r="C7" s="1">
        <v>2013</v>
      </c>
      <c r="D7" s="1" t="s">
        <v>35</v>
      </c>
      <c r="E7" s="1">
        <v>105.3</v>
      </c>
      <c r="G7">
        <f>G6+1</f>
        <v>2018</v>
      </c>
      <c r="H7">
        <f t="shared" ref="H7:H12" si="1">AVERAGEIFS($E$6:$E$129,$C$6:$C$129,$G7,$D$6:$D$129,H$5)</f>
        <v>136.9</v>
      </c>
      <c r="I7">
        <f t="shared" si="0"/>
        <v>140.1</v>
      </c>
      <c r="J7" s="36">
        <f t="shared" ref="J7:J11" si="2">($I7-$H7)/$H7</f>
        <v>2.3374726077428697E-2</v>
      </c>
    </row>
    <row r="8" spans="2:10" x14ac:dyDescent="0.25">
      <c r="B8" s="1" t="s">
        <v>34</v>
      </c>
      <c r="C8" s="1">
        <v>2013</v>
      </c>
      <c r="D8" s="1" t="s">
        <v>36</v>
      </c>
      <c r="E8" s="1">
        <v>105.5</v>
      </c>
      <c r="G8">
        <f t="shared" ref="G8:G12" si="3">G7+1</f>
        <v>2019</v>
      </c>
      <c r="H8">
        <f t="shared" si="1"/>
        <v>139.6</v>
      </c>
      <c r="I8">
        <f t="shared" si="0"/>
        <v>150.4</v>
      </c>
      <c r="J8" s="36">
        <f t="shared" si="2"/>
        <v>7.7363896848137617E-2</v>
      </c>
    </row>
    <row r="9" spans="2:10" x14ac:dyDescent="0.25">
      <c r="B9" s="1" t="s">
        <v>34</v>
      </c>
      <c r="C9" s="1">
        <v>2013</v>
      </c>
      <c r="D9" s="1" t="s">
        <v>37</v>
      </c>
      <c r="E9" s="1">
        <v>106.1</v>
      </c>
      <c r="G9">
        <f t="shared" si="3"/>
        <v>2020</v>
      </c>
      <c r="H9">
        <f t="shared" si="1"/>
        <v>150.19999999999999</v>
      </c>
      <c r="I9">
        <f t="shared" si="0"/>
        <v>158.9</v>
      </c>
      <c r="J9" s="36">
        <f t="shared" si="2"/>
        <v>5.7922769640479481E-2</v>
      </c>
    </row>
    <row r="10" spans="2:10" x14ac:dyDescent="0.25">
      <c r="B10" s="1" t="s">
        <v>34</v>
      </c>
      <c r="C10" s="1">
        <v>2013</v>
      </c>
      <c r="D10" s="1" t="s">
        <v>38</v>
      </c>
      <c r="E10" s="1">
        <v>106.9</v>
      </c>
      <c r="G10">
        <f t="shared" si="3"/>
        <v>2021</v>
      </c>
      <c r="H10">
        <f t="shared" si="1"/>
        <v>157.30000000000001</v>
      </c>
      <c r="I10">
        <f t="shared" si="0"/>
        <v>166.2</v>
      </c>
      <c r="J10" s="36">
        <f t="shared" si="2"/>
        <v>5.657978385251098E-2</v>
      </c>
    </row>
    <row r="11" spans="2:10" x14ac:dyDescent="0.25">
      <c r="B11" s="1" t="s">
        <v>34</v>
      </c>
      <c r="C11" s="1">
        <v>2013</v>
      </c>
      <c r="D11" s="1" t="s">
        <v>39</v>
      </c>
      <c r="E11" s="1">
        <v>109.3</v>
      </c>
      <c r="G11">
        <f t="shared" si="3"/>
        <v>2022</v>
      </c>
      <c r="H11">
        <f t="shared" si="1"/>
        <v>165.7</v>
      </c>
      <c r="I11">
        <f t="shared" si="0"/>
        <v>175.7</v>
      </c>
      <c r="J11" s="36">
        <f t="shared" si="2"/>
        <v>6.0350030175015092E-2</v>
      </c>
    </row>
    <row r="12" spans="2:10" ht="13" x14ac:dyDescent="0.3">
      <c r="B12" s="1" t="s">
        <v>34</v>
      </c>
      <c r="C12" s="1">
        <v>2013</v>
      </c>
      <c r="D12" s="1" t="s">
        <v>40</v>
      </c>
      <c r="E12" s="1">
        <v>111</v>
      </c>
      <c r="G12">
        <f t="shared" si="3"/>
        <v>2023</v>
      </c>
      <c r="H12">
        <f t="shared" si="1"/>
        <v>176.5</v>
      </c>
      <c r="J12" s="19" t="s">
        <v>227</v>
      </c>
    </row>
    <row r="13" spans="2:10" x14ac:dyDescent="0.25">
      <c r="B13" s="1" t="s">
        <v>34</v>
      </c>
      <c r="C13" s="1">
        <v>2013</v>
      </c>
      <c r="D13" s="1" t="s">
        <v>41</v>
      </c>
      <c r="E13" s="1">
        <v>112.4</v>
      </c>
    </row>
    <row r="14" spans="2:10" x14ac:dyDescent="0.25">
      <c r="B14" s="1" t="s">
        <v>34</v>
      </c>
      <c r="C14" s="1">
        <v>2013</v>
      </c>
      <c r="D14" s="1" t="s">
        <v>42</v>
      </c>
      <c r="E14" s="1">
        <v>113.7</v>
      </c>
    </row>
    <row r="15" spans="2:10" x14ac:dyDescent="0.25">
      <c r="B15" s="1" t="s">
        <v>34</v>
      </c>
      <c r="C15" s="1">
        <v>2013</v>
      </c>
      <c r="D15" s="1" t="s">
        <v>43</v>
      </c>
      <c r="E15" s="1">
        <v>114.8</v>
      </c>
    </row>
    <row r="16" spans="2:10" x14ac:dyDescent="0.25">
      <c r="B16" s="1" t="s">
        <v>34</v>
      </c>
      <c r="C16" s="1">
        <v>2013</v>
      </c>
      <c r="D16" s="1" t="s">
        <v>44</v>
      </c>
      <c r="E16" s="1">
        <v>116.3</v>
      </c>
    </row>
    <row r="17" spans="2:5" x14ac:dyDescent="0.25">
      <c r="B17" s="1" t="s">
        <v>34</v>
      </c>
      <c r="C17" s="1">
        <v>2013</v>
      </c>
      <c r="D17" s="1" t="s">
        <v>45</v>
      </c>
      <c r="E17" s="1">
        <v>114.5</v>
      </c>
    </row>
    <row r="18" spans="2:5" x14ac:dyDescent="0.25">
      <c r="B18" s="1" t="s">
        <v>34</v>
      </c>
      <c r="C18" s="1">
        <v>2014</v>
      </c>
      <c r="D18" s="1" t="s">
        <v>31</v>
      </c>
      <c r="E18" s="1">
        <v>113.6</v>
      </c>
    </row>
    <row r="19" spans="2:5" x14ac:dyDescent="0.25">
      <c r="B19" s="1" t="s">
        <v>34</v>
      </c>
      <c r="C19" s="1">
        <v>2014</v>
      </c>
      <c r="D19" s="1" t="s">
        <v>35</v>
      </c>
      <c r="E19" s="1">
        <v>113.6</v>
      </c>
    </row>
    <row r="20" spans="2:5" x14ac:dyDescent="0.25">
      <c r="B20" s="1" t="s">
        <v>34</v>
      </c>
      <c r="C20" s="1">
        <v>2014</v>
      </c>
      <c r="D20" s="1" t="s">
        <v>36</v>
      </c>
      <c r="E20" s="1">
        <v>114.2</v>
      </c>
    </row>
    <row r="21" spans="2:5" x14ac:dyDescent="0.25">
      <c r="B21" s="1" t="s">
        <v>34</v>
      </c>
      <c r="C21" s="1">
        <v>2014</v>
      </c>
      <c r="D21" s="1" t="s">
        <v>37</v>
      </c>
      <c r="E21" s="1">
        <v>115.1</v>
      </c>
    </row>
    <row r="22" spans="2:5" x14ac:dyDescent="0.25">
      <c r="B22" s="1" t="s">
        <v>34</v>
      </c>
      <c r="C22" s="1">
        <v>2014</v>
      </c>
      <c r="D22" s="1" t="s">
        <v>38</v>
      </c>
      <c r="E22" s="1">
        <v>115.8</v>
      </c>
    </row>
    <row r="23" spans="2:5" x14ac:dyDescent="0.25">
      <c r="B23" s="1" t="s">
        <v>34</v>
      </c>
      <c r="C23" s="1">
        <v>2014</v>
      </c>
      <c r="D23" s="1" t="s">
        <v>39</v>
      </c>
      <c r="E23" s="1">
        <v>116.7</v>
      </c>
    </row>
    <row r="24" spans="2:5" x14ac:dyDescent="0.25">
      <c r="B24" s="1" t="s">
        <v>34</v>
      </c>
      <c r="C24" s="1">
        <v>2014</v>
      </c>
      <c r="D24" s="1" t="s">
        <v>40</v>
      </c>
      <c r="E24" s="1">
        <v>119.2</v>
      </c>
    </row>
    <row r="25" spans="2:5" x14ac:dyDescent="0.25">
      <c r="B25" s="1" t="s">
        <v>34</v>
      </c>
      <c r="C25" s="1">
        <v>2014</v>
      </c>
      <c r="D25" s="1" t="s">
        <v>41</v>
      </c>
      <c r="E25" s="1">
        <v>120.3</v>
      </c>
    </row>
    <row r="26" spans="2:5" x14ac:dyDescent="0.25">
      <c r="B26" s="1" t="s">
        <v>34</v>
      </c>
      <c r="C26" s="1">
        <v>2014</v>
      </c>
      <c r="D26" s="1" t="s">
        <v>42</v>
      </c>
      <c r="E26" s="1">
        <v>120.1</v>
      </c>
    </row>
    <row r="27" spans="2:5" x14ac:dyDescent="0.25">
      <c r="B27" s="1" t="s">
        <v>34</v>
      </c>
      <c r="C27" s="1">
        <v>2014</v>
      </c>
      <c r="D27" s="1" t="s">
        <v>43</v>
      </c>
      <c r="E27" s="1">
        <v>120.1</v>
      </c>
    </row>
    <row r="28" spans="2:5" x14ac:dyDescent="0.25">
      <c r="B28" s="1" t="s">
        <v>34</v>
      </c>
      <c r="C28" s="1">
        <v>2014</v>
      </c>
      <c r="D28" s="1" t="s">
        <v>44</v>
      </c>
      <c r="E28" s="1">
        <v>120.1</v>
      </c>
    </row>
    <row r="29" spans="2:5" x14ac:dyDescent="0.25">
      <c r="B29" s="1" t="s">
        <v>34</v>
      </c>
      <c r="C29" s="1">
        <v>2014</v>
      </c>
      <c r="D29" s="1" t="s">
        <v>45</v>
      </c>
      <c r="E29" s="1">
        <v>119.4</v>
      </c>
    </row>
    <row r="30" spans="2:5" x14ac:dyDescent="0.25">
      <c r="B30" s="1" t="s">
        <v>34</v>
      </c>
      <c r="C30" s="1">
        <v>2015</v>
      </c>
      <c r="D30" s="1" t="s">
        <v>31</v>
      </c>
      <c r="E30" s="1">
        <v>119.5</v>
      </c>
    </row>
    <row r="31" spans="2:5" x14ac:dyDescent="0.25">
      <c r="B31" s="1" t="s">
        <v>34</v>
      </c>
      <c r="C31" s="1">
        <v>2015</v>
      </c>
      <c r="D31" s="1" t="s">
        <v>35</v>
      </c>
      <c r="E31" s="1">
        <v>119.7</v>
      </c>
    </row>
    <row r="32" spans="2:5" x14ac:dyDescent="0.25">
      <c r="B32" s="1" t="s">
        <v>34</v>
      </c>
      <c r="C32" s="1">
        <v>2015</v>
      </c>
      <c r="D32" s="1" t="s">
        <v>36</v>
      </c>
      <c r="E32" s="1">
        <v>120.2</v>
      </c>
    </row>
    <row r="33" spans="2:12" x14ac:dyDescent="0.25">
      <c r="B33" s="1" t="s">
        <v>34</v>
      </c>
      <c r="C33" s="1">
        <v>2015</v>
      </c>
      <c r="D33" s="1" t="s">
        <v>37</v>
      </c>
      <c r="E33" s="1">
        <v>120.7</v>
      </c>
    </row>
    <row r="34" spans="2:12" x14ac:dyDescent="0.25">
      <c r="B34" s="1" t="s">
        <v>34</v>
      </c>
      <c r="C34" s="1">
        <v>2015</v>
      </c>
      <c r="D34" s="1" t="s">
        <v>38</v>
      </c>
      <c r="E34" s="1">
        <v>121.6</v>
      </c>
    </row>
    <row r="35" spans="2:12" x14ac:dyDescent="0.25">
      <c r="B35" s="1" t="s">
        <v>34</v>
      </c>
      <c r="C35" s="1">
        <v>2015</v>
      </c>
      <c r="D35" s="1" t="s">
        <v>39</v>
      </c>
      <c r="E35" s="1">
        <v>123</v>
      </c>
    </row>
    <row r="36" spans="2:12" x14ac:dyDescent="0.25">
      <c r="B36" s="1" t="s">
        <v>34</v>
      </c>
      <c r="C36" s="1">
        <v>2015</v>
      </c>
      <c r="D36" s="1" t="s">
        <v>40</v>
      </c>
      <c r="E36" s="1">
        <v>123.6</v>
      </c>
      <c r="I36" s="86" t="s">
        <v>221</v>
      </c>
      <c r="J36" s="86"/>
      <c r="K36" s="86"/>
      <c r="L36" s="86"/>
    </row>
    <row r="37" spans="2:12" ht="13" x14ac:dyDescent="0.3">
      <c r="B37" s="1" t="s">
        <v>34</v>
      </c>
      <c r="C37" s="1">
        <v>2015</v>
      </c>
      <c r="D37" s="1" t="s">
        <v>41</v>
      </c>
      <c r="E37" s="1">
        <v>124.8</v>
      </c>
      <c r="I37" s="85" t="s">
        <v>233</v>
      </c>
      <c r="J37" s="85"/>
      <c r="K37" s="85"/>
      <c r="L37" s="85"/>
    </row>
    <row r="38" spans="2:12" ht="13" x14ac:dyDescent="0.3">
      <c r="B38" s="1" t="s">
        <v>34</v>
      </c>
      <c r="C38" s="1">
        <v>2015</v>
      </c>
      <c r="D38" s="1" t="s">
        <v>42</v>
      </c>
      <c r="E38" s="1">
        <v>125.4</v>
      </c>
      <c r="I38" s="19" t="s">
        <v>234</v>
      </c>
    </row>
    <row r="39" spans="2:12" ht="13" x14ac:dyDescent="0.3">
      <c r="B39" s="1" t="s">
        <v>34</v>
      </c>
      <c r="C39" s="1">
        <v>2015</v>
      </c>
      <c r="D39" s="1" t="s">
        <v>43</v>
      </c>
      <c r="E39" s="1">
        <v>126.1</v>
      </c>
      <c r="I39" s="19" t="s">
        <v>235</v>
      </c>
    </row>
    <row r="40" spans="2:12" ht="13" x14ac:dyDescent="0.3">
      <c r="B40" s="1" t="s">
        <v>34</v>
      </c>
      <c r="C40" s="1">
        <v>2015</v>
      </c>
      <c r="D40" s="1" t="s">
        <v>44</v>
      </c>
      <c r="E40" s="1">
        <v>126.6</v>
      </c>
      <c r="I40" s="19" t="s">
        <v>236</v>
      </c>
    </row>
    <row r="41" spans="2:12" x14ac:dyDescent="0.25">
      <c r="B41" s="1" t="s">
        <v>34</v>
      </c>
      <c r="C41" s="1">
        <v>2015</v>
      </c>
      <c r="D41" s="1" t="s">
        <v>45</v>
      </c>
      <c r="E41" s="1">
        <v>126.1</v>
      </c>
    </row>
    <row r="42" spans="2:12" x14ac:dyDescent="0.25">
      <c r="B42" s="1" t="s">
        <v>34</v>
      </c>
      <c r="C42" s="1">
        <v>2016</v>
      </c>
      <c r="D42" s="1" t="s">
        <v>31</v>
      </c>
      <c r="E42" s="1">
        <v>126.3</v>
      </c>
    </row>
    <row r="43" spans="2:12" x14ac:dyDescent="0.25">
      <c r="B43" s="1" t="s">
        <v>34</v>
      </c>
      <c r="C43" s="1">
        <v>2016</v>
      </c>
      <c r="D43" s="1" t="s">
        <v>35</v>
      </c>
      <c r="E43" s="1">
        <v>126</v>
      </c>
    </row>
    <row r="44" spans="2:12" x14ac:dyDescent="0.25">
      <c r="B44" s="1" t="s">
        <v>34</v>
      </c>
      <c r="C44" s="1">
        <v>2016</v>
      </c>
      <c r="D44" s="1" t="s">
        <v>36</v>
      </c>
      <c r="E44" s="1">
        <v>126</v>
      </c>
    </row>
    <row r="45" spans="2:12" x14ac:dyDescent="0.25">
      <c r="B45" s="1" t="s">
        <v>34</v>
      </c>
      <c r="C45" s="1">
        <v>2016</v>
      </c>
      <c r="D45" s="1" t="s">
        <v>37</v>
      </c>
      <c r="E45" s="1">
        <v>127.3</v>
      </c>
    </row>
    <row r="46" spans="2:12" x14ac:dyDescent="0.25">
      <c r="B46" s="1" t="s">
        <v>34</v>
      </c>
      <c r="C46" s="1">
        <v>2016</v>
      </c>
      <c r="D46" s="1" t="s">
        <v>38</v>
      </c>
      <c r="E46" s="1">
        <v>128.6</v>
      </c>
    </row>
    <row r="47" spans="2:12" x14ac:dyDescent="0.25">
      <c r="B47" s="1" t="s">
        <v>34</v>
      </c>
      <c r="C47" s="1">
        <v>2016</v>
      </c>
      <c r="D47" s="1" t="s">
        <v>39</v>
      </c>
      <c r="E47" s="1">
        <v>130.1</v>
      </c>
    </row>
    <row r="48" spans="2:12" x14ac:dyDescent="0.25">
      <c r="B48" s="1" t="s">
        <v>34</v>
      </c>
      <c r="C48" s="1">
        <v>2016</v>
      </c>
      <c r="D48" s="1" t="s">
        <v>40</v>
      </c>
      <c r="E48" s="1">
        <v>131.1</v>
      </c>
    </row>
    <row r="49" spans="2:5" x14ac:dyDescent="0.25">
      <c r="B49" s="1" t="s">
        <v>34</v>
      </c>
      <c r="C49" s="1">
        <v>2016</v>
      </c>
      <c r="D49" s="1" t="s">
        <v>41</v>
      </c>
      <c r="E49" s="1">
        <v>131.1</v>
      </c>
    </row>
    <row r="50" spans="2:5" x14ac:dyDescent="0.25">
      <c r="B50" s="1" t="s">
        <v>34</v>
      </c>
      <c r="C50" s="1">
        <v>2016</v>
      </c>
      <c r="D50" s="1" t="s">
        <v>42</v>
      </c>
      <c r="E50" s="1">
        <v>130.9</v>
      </c>
    </row>
    <row r="51" spans="2:5" x14ac:dyDescent="0.25">
      <c r="B51" s="1" t="s">
        <v>34</v>
      </c>
      <c r="C51" s="1">
        <v>2016</v>
      </c>
      <c r="D51" s="1" t="s">
        <v>43</v>
      </c>
      <c r="E51" s="1">
        <v>131.4</v>
      </c>
    </row>
    <row r="52" spans="2:5" x14ac:dyDescent="0.25">
      <c r="B52" s="1" t="s">
        <v>34</v>
      </c>
      <c r="C52" s="1">
        <v>2016</v>
      </c>
      <c r="D52" s="1" t="s">
        <v>44</v>
      </c>
      <c r="E52" s="1">
        <v>131.19999999999999</v>
      </c>
    </row>
    <row r="53" spans="2:5" x14ac:dyDescent="0.25">
      <c r="B53" s="1" t="s">
        <v>34</v>
      </c>
      <c r="C53" s="1">
        <v>2016</v>
      </c>
      <c r="D53" s="1" t="s">
        <v>45</v>
      </c>
      <c r="E53" s="1">
        <v>130.4</v>
      </c>
    </row>
    <row r="54" spans="2:5" x14ac:dyDescent="0.25">
      <c r="B54" s="1" t="s">
        <v>34</v>
      </c>
      <c r="C54" s="1">
        <v>2017</v>
      </c>
      <c r="D54" s="1" t="s">
        <v>31</v>
      </c>
      <c r="E54" s="1">
        <v>130.30000000000001</v>
      </c>
    </row>
    <row r="55" spans="2:5" x14ac:dyDescent="0.25">
      <c r="B55" s="1" t="s">
        <v>34</v>
      </c>
      <c r="C55" s="1">
        <v>2017</v>
      </c>
      <c r="D55" s="1" t="s">
        <v>35</v>
      </c>
      <c r="E55" s="1">
        <v>130.6</v>
      </c>
    </row>
    <row r="56" spans="2:5" x14ac:dyDescent="0.25">
      <c r="B56" s="1" t="s">
        <v>34</v>
      </c>
      <c r="C56" s="1">
        <v>2017</v>
      </c>
      <c r="D56" s="1" t="s">
        <v>36</v>
      </c>
      <c r="E56" s="1">
        <v>130.9</v>
      </c>
    </row>
    <row r="57" spans="2:5" x14ac:dyDescent="0.25">
      <c r="B57" s="1" t="s">
        <v>34</v>
      </c>
      <c r="C57" s="1">
        <v>2017</v>
      </c>
      <c r="D57" s="1" t="s">
        <v>37</v>
      </c>
      <c r="E57" s="1">
        <v>131.1</v>
      </c>
    </row>
    <row r="58" spans="2:5" x14ac:dyDescent="0.25">
      <c r="B58" s="1" t="s">
        <v>34</v>
      </c>
      <c r="C58" s="1">
        <v>2017</v>
      </c>
      <c r="D58" s="1" t="s">
        <v>38</v>
      </c>
      <c r="E58" s="1">
        <v>131.4</v>
      </c>
    </row>
    <row r="59" spans="2:5" x14ac:dyDescent="0.25">
      <c r="B59" s="1" t="s">
        <v>34</v>
      </c>
      <c r="C59" s="1">
        <v>2017</v>
      </c>
      <c r="D59" s="1" t="s">
        <v>39</v>
      </c>
      <c r="E59" s="1">
        <v>132</v>
      </c>
    </row>
    <row r="60" spans="2:5" x14ac:dyDescent="0.25">
      <c r="B60" s="1" t="s">
        <v>34</v>
      </c>
      <c r="C60" s="1">
        <v>2017</v>
      </c>
      <c r="D60" s="1" t="s">
        <v>40</v>
      </c>
      <c r="E60" s="1">
        <v>134.19999999999999</v>
      </c>
    </row>
    <row r="61" spans="2:5" x14ac:dyDescent="0.25">
      <c r="B61" s="1" t="s">
        <v>34</v>
      </c>
      <c r="C61" s="1">
        <v>2017</v>
      </c>
      <c r="D61" s="1" t="s">
        <v>41</v>
      </c>
      <c r="E61" s="1">
        <v>135.4</v>
      </c>
    </row>
    <row r="62" spans="2:5" x14ac:dyDescent="0.25">
      <c r="B62" s="1" t="s">
        <v>34</v>
      </c>
      <c r="C62" s="1">
        <v>2017</v>
      </c>
      <c r="D62" s="1" t="s">
        <v>42</v>
      </c>
      <c r="E62" s="1">
        <v>135.19999999999999</v>
      </c>
    </row>
    <row r="63" spans="2:5" x14ac:dyDescent="0.25">
      <c r="B63" s="1" t="s">
        <v>34</v>
      </c>
      <c r="C63" s="1">
        <v>2017</v>
      </c>
      <c r="D63" s="1" t="s">
        <v>43</v>
      </c>
      <c r="E63" s="1">
        <v>136.1</v>
      </c>
    </row>
    <row r="64" spans="2:5" x14ac:dyDescent="0.25">
      <c r="B64" s="1" t="s">
        <v>34</v>
      </c>
      <c r="C64" s="1">
        <v>2017</v>
      </c>
      <c r="D64" s="1" t="s">
        <v>44</v>
      </c>
      <c r="E64" s="1">
        <v>137.6</v>
      </c>
    </row>
    <row r="65" spans="2:5" x14ac:dyDescent="0.25">
      <c r="B65" s="1" t="s">
        <v>34</v>
      </c>
      <c r="C65" s="1">
        <v>2017</v>
      </c>
      <c r="D65" s="1" t="s">
        <v>45</v>
      </c>
      <c r="E65" s="1">
        <v>137.19999999999999</v>
      </c>
    </row>
    <row r="66" spans="2:5" x14ac:dyDescent="0.25">
      <c r="B66" s="1" t="s">
        <v>34</v>
      </c>
      <c r="C66" s="1">
        <v>2018</v>
      </c>
      <c r="D66" s="1" t="s">
        <v>31</v>
      </c>
      <c r="E66" s="1">
        <v>136.9</v>
      </c>
    </row>
    <row r="67" spans="2:5" x14ac:dyDescent="0.25">
      <c r="B67" s="1" t="s">
        <v>34</v>
      </c>
      <c r="C67" s="1">
        <v>2018</v>
      </c>
      <c r="D67" s="1" t="s">
        <v>35</v>
      </c>
      <c r="E67" s="1">
        <v>136.4</v>
      </c>
    </row>
    <row r="68" spans="2:5" x14ac:dyDescent="0.25">
      <c r="B68" s="1" t="s">
        <v>34</v>
      </c>
      <c r="C68" s="1">
        <v>2018</v>
      </c>
      <c r="D68" s="1" t="s">
        <v>36</v>
      </c>
      <c r="E68" s="1">
        <v>136.5</v>
      </c>
    </row>
    <row r="69" spans="2:5" x14ac:dyDescent="0.25">
      <c r="B69" s="1" t="s">
        <v>34</v>
      </c>
      <c r="C69" s="1">
        <v>2018</v>
      </c>
      <c r="D69" s="1" t="s">
        <v>37</v>
      </c>
      <c r="E69" s="1">
        <v>137.1</v>
      </c>
    </row>
    <row r="70" spans="2:5" x14ac:dyDescent="0.25">
      <c r="B70" s="1" t="s">
        <v>34</v>
      </c>
      <c r="C70" s="1">
        <v>2018</v>
      </c>
      <c r="D70" s="1" t="s">
        <v>38</v>
      </c>
      <c r="E70" s="1">
        <v>137.80000000000001</v>
      </c>
    </row>
    <row r="71" spans="2:5" x14ac:dyDescent="0.25">
      <c r="B71" s="1" t="s">
        <v>34</v>
      </c>
      <c r="C71" s="1">
        <v>2018</v>
      </c>
      <c r="D71" s="1" t="s">
        <v>39</v>
      </c>
      <c r="E71" s="1">
        <v>138.5</v>
      </c>
    </row>
    <row r="72" spans="2:5" x14ac:dyDescent="0.25">
      <c r="B72" s="1" t="s">
        <v>34</v>
      </c>
      <c r="C72" s="1">
        <v>2018</v>
      </c>
      <c r="D72" s="1" t="s">
        <v>40</v>
      </c>
      <c r="E72" s="1">
        <v>139.80000000000001</v>
      </c>
    </row>
    <row r="73" spans="2:5" x14ac:dyDescent="0.25">
      <c r="B73" s="1" t="s">
        <v>34</v>
      </c>
      <c r="C73" s="1">
        <v>2018</v>
      </c>
      <c r="D73" s="1" t="s">
        <v>41</v>
      </c>
      <c r="E73" s="1">
        <v>140.4</v>
      </c>
    </row>
    <row r="74" spans="2:5" x14ac:dyDescent="0.25">
      <c r="B74" s="1" t="s">
        <v>34</v>
      </c>
      <c r="C74" s="1">
        <v>2018</v>
      </c>
      <c r="D74" s="1" t="s">
        <v>42</v>
      </c>
      <c r="E74" s="1">
        <v>140.19999999999999</v>
      </c>
    </row>
    <row r="75" spans="2:5" x14ac:dyDescent="0.25">
      <c r="B75" s="1" t="s">
        <v>34</v>
      </c>
      <c r="C75" s="1">
        <v>2018</v>
      </c>
      <c r="D75" s="1" t="s">
        <v>43</v>
      </c>
      <c r="E75" s="1">
        <v>140.80000000000001</v>
      </c>
    </row>
    <row r="76" spans="2:5" x14ac:dyDescent="0.25">
      <c r="B76" s="1" t="s">
        <v>34</v>
      </c>
      <c r="C76" s="1">
        <v>2018</v>
      </c>
      <c r="D76" s="1" t="s">
        <v>44</v>
      </c>
      <c r="E76" s="1">
        <v>140.80000000000001</v>
      </c>
    </row>
    <row r="77" spans="2:5" x14ac:dyDescent="0.25">
      <c r="B77" s="1" t="s">
        <v>34</v>
      </c>
      <c r="C77" s="1">
        <v>2018</v>
      </c>
      <c r="D77" s="1" t="s">
        <v>45</v>
      </c>
      <c r="E77" s="1">
        <v>140.1</v>
      </c>
    </row>
    <row r="78" spans="2:5" x14ac:dyDescent="0.25">
      <c r="B78" s="1" t="s">
        <v>34</v>
      </c>
      <c r="C78" s="1">
        <v>2019</v>
      </c>
      <c r="D78" s="1" t="s">
        <v>31</v>
      </c>
      <c r="E78" s="1">
        <v>139.6</v>
      </c>
    </row>
    <row r="79" spans="2:5" x14ac:dyDescent="0.25">
      <c r="B79" s="1" t="s">
        <v>34</v>
      </c>
      <c r="C79" s="1">
        <v>2019</v>
      </c>
      <c r="D79" s="1" t="s">
        <v>35</v>
      </c>
      <c r="E79" s="1">
        <v>139.9</v>
      </c>
    </row>
    <row r="80" spans="2:5" x14ac:dyDescent="0.25">
      <c r="B80" s="1" t="s">
        <v>34</v>
      </c>
      <c r="C80" s="1">
        <v>2019</v>
      </c>
      <c r="D80" s="1" t="s">
        <v>36</v>
      </c>
      <c r="E80" s="1">
        <v>140.4</v>
      </c>
    </row>
    <row r="81" spans="2:5" x14ac:dyDescent="0.25">
      <c r="B81" s="1" t="s">
        <v>34</v>
      </c>
      <c r="C81" s="1">
        <v>2019</v>
      </c>
      <c r="D81" s="1" t="s">
        <v>38</v>
      </c>
      <c r="E81" s="1">
        <v>142</v>
      </c>
    </row>
    <row r="82" spans="2:5" x14ac:dyDescent="0.25">
      <c r="B82" s="1" t="s">
        <v>34</v>
      </c>
      <c r="C82" s="1">
        <v>2019</v>
      </c>
      <c r="D82" s="1" t="s">
        <v>39</v>
      </c>
      <c r="E82" s="1">
        <v>142.9</v>
      </c>
    </row>
    <row r="83" spans="2:5" x14ac:dyDescent="0.25">
      <c r="B83" s="1" t="s">
        <v>34</v>
      </c>
      <c r="C83" s="1">
        <v>2019</v>
      </c>
      <c r="D83" s="1" t="s">
        <v>40</v>
      </c>
      <c r="E83" s="1">
        <v>144.19999999999999</v>
      </c>
    </row>
    <row r="84" spans="2:5" x14ac:dyDescent="0.25">
      <c r="B84" s="1" t="s">
        <v>34</v>
      </c>
      <c r="C84" s="1">
        <v>2019</v>
      </c>
      <c r="D84" s="1" t="s">
        <v>41</v>
      </c>
      <c r="E84" s="1">
        <v>145</v>
      </c>
    </row>
    <row r="85" spans="2:5" x14ac:dyDescent="0.25">
      <c r="B85" s="1" t="s">
        <v>34</v>
      </c>
      <c r="C85" s="1">
        <v>2019</v>
      </c>
      <c r="D85" s="1" t="s">
        <v>42</v>
      </c>
      <c r="E85" s="1">
        <v>145.80000000000001</v>
      </c>
    </row>
    <row r="86" spans="2:5" x14ac:dyDescent="0.25">
      <c r="B86" s="1" t="s">
        <v>34</v>
      </c>
      <c r="C86" s="1">
        <v>2019</v>
      </c>
      <c r="D86" s="1" t="s">
        <v>43</v>
      </c>
      <c r="E86" s="1">
        <v>147.19999999999999</v>
      </c>
    </row>
    <row r="87" spans="2:5" x14ac:dyDescent="0.25">
      <c r="B87" s="1" t="s">
        <v>34</v>
      </c>
      <c r="C87" s="1">
        <v>2019</v>
      </c>
      <c r="D87" s="1" t="s">
        <v>44</v>
      </c>
      <c r="E87" s="1">
        <v>148.6</v>
      </c>
    </row>
    <row r="88" spans="2:5" x14ac:dyDescent="0.25">
      <c r="B88" s="1" t="s">
        <v>34</v>
      </c>
      <c r="C88" s="1">
        <v>2019</v>
      </c>
      <c r="D88" s="1" t="s">
        <v>45</v>
      </c>
      <c r="E88" s="1">
        <v>150.4</v>
      </c>
    </row>
    <row r="89" spans="2:5" x14ac:dyDescent="0.25">
      <c r="B89" s="1" t="s">
        <v>34</v>
      </c>
      <c r="C89" s="1">
        <v>2020</v>
      </c>
      <c r="D89" s="1" t="s">
        <v>31</v>
      </c>
      <c r="E89" s="1">
        <v>150.19999999999999</v>
      </c>
    </row>
    <row r="90" spans="2:5" x14ac:dyDescent="0.25">
      <c r="B90" s="1" t="s">
        <v>34</v>
      </c>
      <c r="C90" s="1">
        <v>2020</v>
      </c>
      <c r="D90" s="1" t="s">
        <v>35</v>
      </c>
      <c r="E90" s="1">
        <v>149.1</v>
      </c>
    </row>
    <row r="91" spans="2:5" x14ac:dyDescent="0.25">
      <c r="B91" s="1" t="s">
        <v>34</v>
      </c>
      <c r="C91" s="1">
        <v>2020</v>
      </c>
      <c r="D91" s="1" t="s">
        <v>36</v>
      </c>
      <c r="E91" s="1">
        <v>148.6</v>
      </c>
    </row>
    <row r="92" spans="2:5" x14ac:dyDescent="0.25">
      <c r="B92" s="1" t="s">
        <v>34</v>
      </c>
      <c r="C92" s="1">
        <v>2020</v>
      </c>
      <c r="D92" s="1" t="s">
        <v>37</v>
      </c>
      <c r="E92" s="14">
        <v>149.05000000000001</v>
      </c>
    </row>
    <row r="93" spans="2:5" x14ac:dyDescent="0.25">
      <c r="B93" s="1" t="s">
        <v>34</v>
      </c>
      <c r="C93" s="1">
        <v>2020</v>
      </c>
      <c r="D93" s="1" t="s">
        <v>38</v>
      </c>
      <c r="E93" s="14">
        <v>150.42500000000001</v>
      </c>
    </row>
    <row r="94" spans="2:5" x14ac:dyDescent="0.25">
      <c r="B94" s="1" t="s">
        <v>34</v>
      </c>
      <c r="C94" s="1">
        <v>2020</v>
      </c>
      <c r="D94" s="1" t="s">
        <v>39</v>
      </c>
      <c r="E94" s="1">
        <v>151.80000000000001</v>
      </c>
    </row>
    <row r="95" spans="2:5" x14ac:dyDescent="0.25">
      <c r="B95" s="1" t="s">
        <v>34</v>
      </c>
      <c r="C95" s="1">
        <v>2020</v>
      </c>
      <c r="D95" s="1" t="s">
        <v>40</v>
      </c>
      <c r="E95" s="1">
        <v>151.80000000000001</v>
      </c>
    </row>
    <row r="96" spans="2:5" x14ac:dyDescent="0.25">
      <c r="B96" s="1" t="s">
        <v>34</v>
      </c>
      <c r="C96" s="1">
        <v>2020</v>
      </c>
      <c r="D96" s="1" t="s">
        <v>41</v>
      </c>
      <c r="E96" s="1">
        <v>153.9</v>
      </c>
    </row>
    <row r="97" spans="2:5" x14ac:dyDescent="0.25">
      <c r="B97" s="1" t="s">
        <v>34</v>
      </c>
      <c r="C97" s="1">
        <v>2020</v>
      </c>
      <c r="D97" s="1" t="s">
        <v>42</v>
      </c>
      <c r="E97" s="1">
        <v>154.69999999999999</v>
      </c>
    </row>
    <row r="98" spans="2:5" x14ac:dyDescent="0.25">
      <c r="B98" s="1" t="s">
        <v>34</v>
      </c>
      <c r="C98" s="1">
        <v>2020</v>
      </c>
      <c r="D98" s="1" t="s">
        <v>43</v>
      </c>
      <c r="E98" s="1">
        <v>156.4</v>
      </c>
    </row>
    <row r="99" spans="2:5" x14ac:dyDescent="0.25">
      <c r="B99" s="1" t="s">
        <v>34</v>
      </c>
      <c r="C99" s="1">
        <v>2020</v>
      </c>
      <c r="D99" s="1" t="s">
        <v>44</v>
      </c>
      <c r="E99" s="1">
        <v>158.4</v>
      </c>
    </row>
    <row r="100" spans="2:5" x14ac:dyDescent="0.25">
      <c r="B100" s="1" t="s">
        <v>34</v>
      </c>
      <c r="C100" s="1">
        <v>2020</v>
      </c>
      <c r="D100" s="1" t="s">
        <v>45</v>
      </c>
      <c r="E100" s="1">
        <v>158.9</v>
      </c>
    </row>
    <row r="101" spans="2:5" x14ac:dyDescent="0.25">
      <c r="B101" s="1" t="s">
        <v>34</v>
      </c>
      <c r="C101" s="1">
        <v>2021</v>
      </c>
      <c r="D101" s="1" t="s">
        <v>31</v>
      </c>
      <c r="E101" s="1">
        <v>157.30000000000001</v>
      </c>
    </row>
    <row r="102" spans="2:5" x14ac:dyDescent="0.25">
      <c r="B102" s="1" t="s">
        <v>34</v>
      </c>
      <c r="C102" s="1">
        <v>2021</v>
      </c>
      <c r="D102" s="1" t="s">
        <v>35</v>
      </c>
      <c r="E102" s="1">
        <v>156.6</v>
      </c>
    </row>
    <row r="103" spans="2:5" x14ac:dyDescent="0.25">
      <c r="B103" s="1" t="s">
        <v>34</v>
      </c>
      <c r="C103" s="1">
        <v>2021</v>
      </c>
      <c r="D103" s="1" t="s">
        <v>36</v>
      </c>
      <c r="E103" s="1">
        <v>156.80000000000001</v>
      </c>
    </row>
    <row r="104" spans="2:5" x14ac:dyDescent="0.25">
      <c r="B104" s="1" t="s">
        <v>34</v>
      </c>
      <c r="C104" s="1">
        <v>2021</v>
      </c>
      <c r="D104" s="1" t="s">
        <v>37</v>
      </c>
      <c r="E104" s="1">
        <v>157.80000000000001</v>
      </c>
    </row>
    <row r="105" spans="2:5" x14ac:dyDescent="0.25">
      <c r="B105" s="1" t="s">
        <v>34</v>
      </c>
      <c r="C105" s="1">
        <v>2021</v>
      </c>
      <c r="D105" s="1" t="s">
        <v>38</v>
      </c>
      <c r="E105" s="1">
        <v>160.4</v>
      </c>
    </row>
    <row r="106" spans="2:5" x14ac:dyDescent="0.25">
      <c r="B106" s="1" t="s">
        <v>34</v>
      </c>
      <c r="C106" s="1">
        <v>2021</v>
      </c>
      <c r="D106" s="1" t="s">
        <v>39</v>
      </c>
      <c r="E106" s="1">
        <v>161.30000000000001</v>
      </c>
    </row>
    <row r="107" spans="2:5" x14ac:dyDescent="0.25">
      <c r="B107" s="1" t="s">
        <v>34</v>
      </c>
      <c r="C107" s="1">
        <v>2021</v>
      </c>
      <c r="D107" s="1" t="s">
        <v>40</v>
      </c>
      <c r="E107" s="1">
        <v>162.5</v>
      </c>
    </row>
    <row r="108" spans="2:5" x14ac:dyDescent="0.25">
      <c r="B108" s="1" t="s">
        <v>34</v>
      </c>
      <c r="C108" s="1">
        <v>2021</v>
      </c>
      <c r="D108" s="1" t="s">
        <v>41</v>
      </c>
      <c r="E108" s="1">
        <v>163.19999999999999</v>
      </c>
    </row>
    <row r="109" spans="2:5" x14ac:dyDescent="0.25">
      <c r="B109" s="1" t="s">
        <v>34</v>
      </c>
      <c r="C109" s="1">
        <v>2021</v>
      </c>
      <c r="D109" s="1" t="s">
        <v>42</v>
      </c>
      <c r="E109" s="1">
        <v>163.19999999999999</v>
      </c>
    </row>
    <row r="110" spans="2:5" x14ac:dyDescent="0.25">
      <c r="B110" s="1" t="s">
        <v>34</v>
      </c>
      <c r="C110" s="1">
        <v>2021</v>
      </c>
      <c r="D110" s="1" t="s">
        <v>43</v>
      </c>
      <c r="E110" s="1">
        <v>165.5</v>
      </c>
    </row>
    <row r="111" spans="2:5" x14ac:dyDescent="0.25">
      <c r="B111" s="1" t="s">
        <v>34</v>
      </c>
      <c r="C111" s="1">
        <v>2021</v>
      </c>
      <c r="D111" s="1" t="s">
        <v>44</v>
      </c>
      <c r="E111" s="1">
        <v>166.7</v>
      </c>
    </row>
    <row r="112" spans="2:5" x14ac:dyDescent="0.25">
      <c r="B112" s="1" t="s">
        <v>34</v>
      </c>
      <c r="C112" s="1">
        <v>2021</v>
      </c>
      <c r="D112" s="1" t="s">
        <v>45</v>
      </c>
      <c r="E112" s="1">
        <v>166.2</v>
      </c>
    </row>
    <row r="113" spans="2:5" x14ac:dyDescent="0.25">
      <c r="B113" s="1" t="s">
        <v>34</v>
      </c>
      <c r="C113" s="1">
        <v>2022</v>
      </c>
      <c r="D113" s="1" t="s">
        <v>31</v>
      </c>
      <c r="E113" s="1">
        <v>165.7</v>
      </c>
    </row>
    <row r="114" spans="2:5" x14ac:dyDescent="0.25">
      <c r="B114" s="1" t="s">
        <v>34</v>
      </c>
      <c r="C114" s="1">
        <v>2022</v>
      </c>
      <c r="D114" s="1" t="s">
        <v>35</v>
      </c>
      <c r="E114" s="1">
        <v>166.1</v>
      </c>
    </row>
    <row r="115" spans="2:5" x14ac:dyDescent="0.25">
      <c r="B115" s="1" t="s">
        <v>34</v>
      </c>
      <c r="C115" s="1">
        <v>2022</v>
      </c>
      <c r="D115" s="1" t="s">
        <v>36</v>
      </c>
      <c r="E115" s="1">
        <v>167.7</v>
      </c>
    </row>
    <row r="116" spans="2:5" x14ac:dyDescent="0.25">
      <c r="B116" s="1" t="s">
        <v>34</v>
      </c>
      <c r="C116" s="1">
        <v>2022</v>
      </c>
      <c r="D116" s="1" t="s">
        <v>37</v>
      </c>
      <c r="E116" s="1">
        <v>170.1</v>
      </c>
    </row>
    <row r="117" spans="2:5" x14ac:dyDescent="0.25">
      <c r="B117" s="1" t="s">
        <v>34</v>
      </c>
      <c r="C117" s="1">
        <v>2022</v>
      </c>
      <c r="D117" s="1" t="s">
        <v>38</v>
      </c>
      <c r="E117" s="1">
        <v>171.7</v>
      </c>
    </row>
    <row r="118" spans="2:5" x14ac:dyDescent="0.25">
      <c r="B118" s="1" t="s">
        <v>34</v>
      </c>
      <c r="C118" s="1">
        <v>2022</v>
      </c>
      <c r="D118" s="1" t="s">
        <v>39</v>
      </c>
      <c r="E118" s="1">
        <v>172.6</v>
      </c>
    </row>
    <row r="119" spans="2:5" x14ac:dyDescent="0.25">
      <c r="B119" s="1" t="s">
        <v>34</v>
      </c>
      <c r="C119" s="1">
        <v>2022</v>
      </c>
      <c r="D119" s="1" t="s">
        <v>40</v>
      </c>
      <c r="E119" s="1">
        <v>173.4</v>
      </c>
    </row>
    <row r="120" spans="2:5" x14ac:dyDescent="0.25">
      <c r="B120" s="1" t="s">
        <v>34</v>
      </c>
      <c r="C120" s="1">
        <v>2022</v>
      </c>
      <c r="D120" s="1" t="s">
        <v>41</v>
      </c>
      <c r="E120" s="1">
        <v>174.3</v>
      </c>
    </row>
    <row r="121" spans="2:5" x14ac:dyDescent="0.25">
      <c r="B121" s="1" t="s">
        <v>34</v>
      </c>
      <c r="C121" s="1">
        <v>2022</v>
      </c>
      <c r="D121" s="1" t="s">
        <v>42</v>
      </c>
      <c r="E121" s="1">
        <v>175.3</v>
      </c>
    </row>
    <row r="122" spans="2:5" x14ac:dyDescent="0.25">
      <c r="B122" s="1" t="s">
        <v>34</v>
      </c>
      <c r="C122" s="1">
        <v>2022</v>
      </c>
      <c r="D122" s="1" t="s">
        <v>43</v>
      </c>
      <c r="E122" s="1">
        <v>176.7</v>
      </c>
    </row>
    <row r="123" spans="2:5" x14ac:dyDescent="0.25">
      <c r="B123" s="1" t="s">
        <v>34</v>
      </c>
      <c r="C123" s="1">
        <v>2022</v>
      </c>
      <c r="D123" s="1" t="s">
        <v>44</v>
      </c>
      <c r="E123" s="1">
        <v>176.5</v>
      </c>
    </row>
    <row r="124" spans="2:5" x14ac:dyDescent="0.25">
      <c r="B124" s="1" t="s">
        <v>34</v>
      </c>
      <c r="C124" s="1">
        <v>2022</v>
      </c>
      <c r="D124" s="1" t="s">
        <v>45</v>
      </c>
      <c r="E124" s="1">
        <v>175.7</v>
      </c>
    </row>
    <row r="125" spans="2:5" x14ac:dyDescent="0.25">
      <c r="B125" s="1" t="s">
        <v>34</v>
      </c>
      <c r="C125" s="1">
        <v>2023</v>
      </c>
      <c r="D125" s="1" t="s">
        <v>31</v>
      </c>
      <c r="E125" s="1">
        <v>176.5</v>
      </c>
    </row>
    <row r="126" spans="2:5" x14ac:dyDescent="0.25">
      <c r="B126" s="1" t="s">
        <v>34</v>
      </c>
      <c r="C126" s="1">
        <v>2023</v>
      </c>
      <c r="D126" s="1" t="s">
        <v>35</v>
      </c>
      <c r="E126" s="1">
        <v>177.2</v>
      </c>
    </row>
    <row r="127" spans="2:5" x14ac:dyDescent="0.25">
      <c r="B127" s="1" t="s">
        <v>34</v>
      </c>
      <c r="C127" s="1">
        <v>2023</v>
      </c>
      <c r="D127" s="1" t="s">
        <v>36</v>
      </c>
      <c r="E127" s="1">
        <v>177.2</v>
      </c>
    </row>
    <row r="128" spans="2:5" x14ac:dyDescent="0.25">
      <c r="B128" s="1" t="s">
        <v>34</v>
      </c>
      <c r="C128" s="1">
        <v>2023</v>
      </c>
      <c r="D128" s="1" t="s">
        <v>37</v>
      </c>
      <c r="E128" s="1">
        <v>178.1</v>
      </c>
    </row>
    <row r="129" spans="2:5" x14ac:dyDescent="0.25">
      <c r="B129" s="1" t="s">
        <v>34</v>
      </c>
      <c r="C129" s="1">
        <v>2023</v>
      </c>
      <c r="D129" s="1" t="s">
        <v>38</v>
      </c>
      <c r="E129" s="1">
        <v>179.1</v>
      </c>
    </row>
  </sheetData>
  <mergeCells count="5">
    <mergeCell ref="G4:J4"/>
    <mergeCell ref="B4:E4"/>
    <mergeCell ref="B1:D1"/>
    <mergeCell ref="I37:L37"/>
    <mergeCell ref="I36:L3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2E477-2599-4E6F-9FCD-8BF3FC986E1B}">
  <dimension ref="A1:P52"/>
  <sheetViews>
    <sheetView showGridLines="0" topLeftCell="A11" zoomScale="76" workbookViewId="0">
      <selection activeCell="C26" sqref="C26:O27"/>
    </sheetView>
  </sheetViews>
  <sheetFormatPr defaultRowHeight="12.5" x14ac:dyDescent="0.25"/>
  <cols>
    <col min="2" max="2" width="16" customWidth="1"/>
    <col min="3" max="3" width="19.6328125" customWidth="1"/>
    <col min="4" max="4" width="14.90625" customWidth="1"/>
    <col min="5" max="5" width="16.26953125" customWidth="1"/>
    <col min="6" max="6" width="18.08984375" customWidth="1"/>
    <col min="7" max="7" width="14" customWidth="1"/>
    <col min="14" max="14" width="13.7265625" customWidth="1"/>
    <col min="15" max="15" width="28" customWidth="1"/>
    <col min="16" max="16" width="19" customWidth="1"/>
  </cols>
  <sheetData>
    <row r="1" spans="1:15" ht="15.5" x14ac:dyDescent="0.35">
      <c r="B1" s="87" t="s">
        <v>243</v>
      </c>
      <c r="C1" s="87"/>
      <c r="D1" s="38" t="s">
        <v>238</v>
      </c>
    </row>
    <row r="4" spans="1:15" ht="13" x14ac:dyDescent="0.3">
      <c r="A4" s="39"/>
      <c r="B4" s="2" t="s">
        <v>82</v>
      </c>
      <c r="C4" s="2" t="s">
        <v>15</v>
      </c>
      <c r="D4" s="2" t="s">
        <v>237</v>
      </c>
    </row>
    <row r="5" spans="1:15" x14ac:dyDescent="0.25">
      <c r="A5" s="39"/>
      <c r="B5" s="1" t="s">
        <v>194</v>
      </c>
      <c r="C5" s="1">
        <v>2238.9000000000005</v>
      </c>
    </row>
    <row r="6" spans="1:15" x14ac:dyDescent="0.25">
      <c r="A6" s="39"/>
      <c r="B6" s="1" t="s">
        <v>195</v>
      </c>
      <c r="C6" s="1">
        <v>2261.9</v>
      </c>
      <c r="D6" s="40">
        <f t="shared" ref="D6:D17" si="0">($C6-$C5)/$C5*100</f>
        <v>1.0272901871454525</v>
      </c>
    </row>
    <row r="7" spans="1:15" x14ac:dyDescent="0.25">
      <c r="A7" s="39"/>
      <c r="B7" s="1" t="s">
        <v>196</v>
      </c>
      <c r="C7" s="1">
        <v>2266.3000000000002</v>
      </c>
      <c r="D7" s="40">
        <f t="shared" si="0"/>
        <v>0.19452672531942572</v>
      </c>
    </row>
    <row r="8" spans="1:15" x14ac:dyDescent="0.25">
      <c r="A8" s="39"/>
      <c r="B8" s="1" t="s">
        <v>197</v>
      </c>
      <c r="C8" s="1">
        <v>2269.2000000000003</v>
      </c>
      <c r="D8" s="40">
        <f t="shared" si="0"/>
        <v>0.12796187618585758</v>
      </c>
    </row>
    <row r="9" spans="1:15" x14ac:dyDescent="0.25">
      <c r="A9" s="39"/>
      <c r="B9" s="1" t="s">
        <v>198</v>
      </c>
      <c r="C9" s="1">
        <v>2280.9</v>
      </c>
      <c r="D9" s="40">
        <f t="shared" si="0"/>
        <v>0.51560021152828384</v>
      </c>
    </row>
    <row r="10" spans="1:15" x14ac:dyDescent="0.25">
      <c r="A10" s="39"/>
      <c r="B10" s="1" t="s">
        <v>199</v>
      </c>
      <c r="C10" s="1">
        <v>2297.3000000000002</v>
      </c>
      <c r="D10" s="40">
        <f t="shared" si="0"/>
        <v>0.7190144241308295</v>
      </c>
    </row>
    <row r="11" spans="1:15" ht="13" x14ac:dyDescent="0.3">
      <c r="A11" s="39"/>
      <c r="B11" s="1" t="s">
        <v>200</v>
      </c>
      <c r="C11" s="1">
        <v>2296.8000000000002</v>
      </c>
      <c r="D11" s="40">
        <f t="shared" si="0"/>
        <v>-2.1764680276846731E-2</v>
      </c>
      <c r="O11" s="29" t="s">
        <v>221</v>
      </c>
    </row>
    <row r="12" spans="1:15" ht="13" x14ac:dyDescent="0.3">
      <c r="A12" s="39"/>
      <c r="B12" s="1" t="s">
        <v>201</v>
      </c>
      <c r="C12" s="1">
        <v>2283.4</v>
      </c>
      <c r="D12" s="40">
        <f t="shared" si="0"/>
        <v>-0.58342041100662179</v>
      </c>
      <c r="O12" s="28" t="s">
        <v>240</v>
      </c>
    </row>
    <row r="13" spans="1:15" ht="13" x14ac:dyDescent="0.3">
      <c r="A13" s="39"/>
      <c r="B13" s="1" t="s">
        <v>202</v>
      </c>
      <c r="C13" s="1">
        <v>2292.6999999999998</v>
      </c>
      <c r="D13" s="40">
        <f t="shared" si="0"/>
        <v>0.40728737847068963</v>
      </c>
      <c r="O13" s="19" t="s">
        <v>241</v>
      </c>
    </row>
    <row r="14" spans="1:15" ht="13" x14ac:dyDescent="0.3">
      <c r="A14" s="39"/>
      <c r="B14" s="1" t="s">
        <v>203</v>
      </c>
      <c r="C14" s="1">
        <v>2279.1</v>
      </c>
      <c r="D14" s="40">
        <f t="shared" si="0"/>
        <v>-0.59318707201116194</v>
      </c>
      <c r="O14" s="19" t="s">
        <v>242</v>
      </c>
    </row>
    <row r="15" spans="1:15" x14ac:dyDescent="0.25">
      <c r="A15" s="39"/>
      <c r="B15" s="1" t="s">
        <v>204</v>
      </c>
      <c r="C15" s="1">
        <v>2279.1999999999998</v>
      </c>
      <c r="D15" s="40">
        <f t="shared" si="0"/>
        <v>4.3876968978943031E-3</v>
      </c>
    </row>
    <row r="16" spans="1:15" x14ac:dyDescent="0.25">
      <c r="A16" s="39"/>
      <c r="B16" s="1" t="s">
        <v>205</v>
      </c>
      <c r="C16" s="1">
        <v>2289.6000000000004</v>
      </c>
      <c r="D16" s="40">
        <f t="shared" si="0"/>
        <v>0.45630045630048033</v>
      </c>
    </row>
    <row r="17" spans="1:16" x14ac:dyDescent="0.25">
      <c r="A17" s="39"/>
      <c r="B17" s="1" t="s">
        <v>206</v>
      </c>
      <c r="C17" s="1">
        <v>2306.9</v>
      </c>
      <c r="D17" s="40">
        <f t="shared" si="0"/>
        <v>0.75559049615652185</v>
      </c>
    </row>
    <row r="24" spans="1:16" x14ac:dyDescent="0.25">
      <c r="M24" s="41"/>
      <c r="N24" s="41"/>
      <c r="O24" s="41"/>
    </row>
    <row r="25" spans="1:16" x14ac:dyDescent="0.25">
      <c r="M25" s="41"/>
      <c r="N25" s="41"/>
      <c r="O25" s="41"/>
    </row>
    <row r="26" spans="1:16" ht="13" x14ac:dyDescent="0.3">
      <c r="C26" s="2" t="s">
        <v>3</v>
      </c>
      <c r="D26" s="2" t="s">
        <v>4</v>
      </c>
      <c r="E26" s="2" t="s">
        <v>5</v>
      </c>
      <c r="F26" s="2" t="s">
        <v>6</v>
      </c>
      <c r="G26" s="2" t="s">
        <v>7</v>
      </c>
      <c r="H26" s="2" t="s">
        <v>8</v>
      </c>
      <c r="I26" s="2" t="s">
        <v>9</v>
      </c>
      <c r="J26" s="2" t="s">
        <v>10</v>
      </c>
      <c r="K26" s="2" t="s">
        <v>11</v>
      </c>
      <c r="L26" s="2" t="s">
        <v>12</v>
      </c>
      <c r="M26" s="2" t="s">
        <v>13</v>
      </c>
      <c r="N26" s="2" t="s">
        <v>14</v>
      </c>
      <c r="O26" s="2" t="s">
        <v>15</v>
      </c>
    </row>
    <row r="27" spans="1:16" ht="13" x14ac:dyDescent="0.3">
      <c r="B27" s="29" t="s">
        <v>239</v>
      </c>
      <c r="C27" s="37">
        <v>12.085220029035371</v>
      </c>
      <c r="D27" s="37">
        <v>-1.0960038075584961</v>
      </c>
      <c r="E27" s="37">
        <v>7.585802092885797</v>
      </c>
      <c r="F27" s="37">
        <v>8.5207275393248896</v>
      </c>
      <c r="G27" s="37">
        <v>-11.618753141804762</v>
      </c>
      <c r="H27" s="37">
        <v>5.9318798655159055</v>
      </c>
      <c r="I27" s="37">
        <v>6.562905770088399</v>
      </c>
      <c r="J27" s="37">
        <v>15.169683733689968</v>
      </c>
      <c r="K27" s="37">
        <v>3.3958434091501504</v>
      </c>
      <c r="L27" s="37">
        <v>6.6560214551546064</v>
      </c>
      <c r="M27" s="37">
        <v>2.8797010836310775</v>
      </c>
      <c r="N27" s="37">
        <v>42.753076224379413</v>
      </c>
      <c r="O27" s="37">
        <v>-1490.3232900262603</v>
      </c>
    </row>
    <row r="32" spans="1:16" ht="13" x14ac:dyDescent="0.3">
      <c r="B32" s="2" t="s">
        <v>1</v>
      </c>
      <c r="C32" s="2" t="s">
        <v>2</v>
      </c>
      <c r="D32" s="2" t="s">
        <v>3</v>
      </c>
      <c r="E32" s="2" t="s">
        <v>4</v>
      </c>
      <c r="F32" s="2" t="s">
        <v>5</v>
      </c>
      <c r="G32" s="2" t="s">
        <v>6</v>
      </c>
      <c r="H32" s="2" t="s">
        <v>7</v>
      </c>
      <c r="I32" s="2" t="s">
        <v>8</v>
      </c>
      <c r="J32" s="2" t="s">
        <v>9</v>
      </c>
      <c r="K32" s="2" t="s">
        <v>10</v>
      </c>
      <c r="L32" s="2" t="s">
        <v>11</v>
      </c>
      <c r="M32" s="2" t="s">
        <v>12</v>
      </c>
      <c r="N32" s="2" t="s">
        <v>13</v>
      </c>
      <c r="O32" s="2" t="s">
        <v>14</v>
      </c>
      <c r="P32" s="2" t="s">
        <v>15</v>
      </c>
    </row>
    <row r="33" spans="2:16" x14ac:dyDescent="0.25">
      <c r="B33" s="1">
        <v>2022</v>
      </c>
      <c r="C33" s="1" t="s">
        <v>39</v>
      </c>
      <c r="D33" s="1">
        <v>0.58403634003893945</v>
      </c>
      <c r="E33" s="1">
        <v>1.1059907834101408</v>
      </c>
      <c r="F33" s="1">
        <v>5.172413793103452</v>
      </c>
      <c r="G33" s="1">
        <v>0.54578532443905736</v>
      </c>
      <c r="H33" s="1">
        <v>-0.74110671936758887</v>
      </c>
      <c r="I33" s="1">
        <v>-0.76023391812866159</v>
      </c>
      <c r="J33" s="1">
        <v>4.2309891366495167</v>
      </c>
      <c r="K33" s="1">
        <v>-0.24286581663629467</v>
      </c>
      <c r="L33" s="1">
        <v>0.16708437761069578</v>
      </c>
      <c r="M33" s="1">
        <v>1.1898323418063756</v>
      </c>
      <c r="N33" s="1">
        <v>0.47875523638540479</v>
      </c>
      <c r="O33" s="1">
        <v>0.76712328767123594</v>
      </c>
      <c r="P33" s="1">
        <v>0.92325447201384547</v>
      </c>
    </row>
    <row r="34" spans="2:16" x14ac:dyDescent="0.25">
      <c r="B34" s="1">
        <v>2022</v>
      </c>
      <c r="C34" s="1" t="s">
        <v>40</v>
      </c>
      <c r="D34" s="1">
        <v>0.967741935483871</v>
      </c>
      <c r="E34" s="1">
        <v>-2.9170464904284437</v>
      </c>
      <c r="F34" s="1">
        <v>2.5761124121779724</v>
      </c>
      <c r="G34" s="1">
        <v>0.48250904704462172</v>
      </c>
      <c r="H34" s="1">
        <v>-0.10970927043336097</v>
      </c>
      <c r="I34" s="1">
        <v>0</v>
      </c>
      <c r="J34" s="1">
        <v>8.3402835696408939E-2</v>
      </c>
      <c r="K34" s="1">
        <v>1.5499732763228251</v>
      </c>
      <c r="L34" s="1">
        <v>0.29779630732578916</v>
      </c>
      <c r="M34" s="1">
        <v>0.70690592713430289</v>
      </c>
      <c r="N34" s="1">
        <v>5.7175528873638831E-2</v>
      </c>
      <c r="O34" s="1">
        <v>65.698924731181748</v>
      </c>
      <c r="P34" s="1">
        <v>-363.74962017623784</v>
      </c>
    </row>
    <row r="35" spans="2:16" x14ac:dyDescent="0.25">
      <c r="B35" s="1">
        <v>2022</v>
      </c>
      <c r="C35" s="1" t="s">
        <v>41</v>
      </c>
      <c r="D35" s="1">
        <v>2.4281150159744485</v>
      </c>
      <c r="E35" s="1">
        <v>-3.051643192488263</v>
      </c>
      <c r="F35" s="1">
        <v>-3.4246575342465757</v>
      </c>
      <c r="G35" s="1">
        <v>0.90036014405762299</v>
      </c>
      <c r="H35" s="1">
        <v>2.5260845689181735</v>
      </c>
      <c r="I35" s="1">
        <v>1.7650639074862917</v>
      </c>
      <c r="J35" s="1">
        <v>0.75000000000000477</v>
      </c>
      <c r="K35" s="1">
        <v>1.8947368421052602</v>
      </c>
      <c r="L35" s="1">
        <v>0.23752969121140477</v>
      </c>
      <c r="M35" s="1">
        <v>0.59395248380130827</v>
      </c>
      <c r="N35" s="1">
        <v>0.74285714285714932</v>
      </c>
      <c r="O35" s="1">
        <v>150.90521831735967</v>
      </c>
      <c r="P35" s="1">
        <v>4.6141431924881768</v>
      </c>
    </row>
    <row r="36" spans="2:16" x14ac:dyDescent="0.25">
      <c r="B36" s="1">
        <v>2022</v>
      </c>
      <c r="C36" s="1" t="s">
        <v>42</v>
      </c>
      <c r="D36" s="1">
        <v>1.9962570180910719</v>
      </c>
      <c r="E36" s="1">
        <v>1.3075060532687597</v>
      </c>
      <c r="F36" s="1">
        <v>0.29550827423167852</v>
      </c>
      <c r="G36" s="1">
        <v>0.951814396192739</v>
      </c>
      <c r="H36" s="1">
        <v>2.7316550615961557</v>
      </c>
      <c r="I36" s="1">
        <v>1.1363636363636398</v>
      </c>
      <c r="J36" s="1">
        <v>0.57899090157153732</v>
      </c>
      <c r="K36" s="1">
        <v>1.9111570247933973</v>
      </c>
      <c r="L36" s="1">
        <v>0.35545023696682126</v>
      </c>
      <c r="M36" s="1">
        <v>0.59044551798174671</v>
      </c>
      <c r="N36" s="1">
        <v>0.85082246171298925</v>
      </c>
      <c r="O36" s="1">
        <v>-17.785730702302164</v>
      </c>
      <c r="P36" s="1">
        <v>-142.84596759173013</v>
      </c>
    </row>
    <row r="37" spans="2:16" x14ac:dyDescent="0.25">
      <c r="B37" s="1">
        <v>2022</v>
      </c>
      <c r="C37" s="1" t="s">
        <v>43</v>
      </c>
      <c r="D37" s="1">
        <v>1.0397553516819502</v>
      </c>
      <c r="E37" s="1">
        <v>0.81261950286807705</v>
      </c>
      <c r="F37" s="1">
        <v>0.70713022981733475</v>
      </c>
      <c r="G37" s="1">
        <v>0.70713022981733475</v>
      </c>
      <c r="H37" s="1">
        <v>4.1188738269030116</v>
      </c>
      <c r="I37" s="1">
        <v>0.41395623891189659</v>
      </c>
      <c r="J37" s="1">
        <v>0.24671052631579882</v>
      </c>
      <c r="K37" s="1">
        <v>1.3177901672579797</v>
      </c>
      <c r="L37" s="1">
        <v>0.29515938606847697</v>
      </c>
      <c r="M37" s="1">
        <v>0.48025613660619304</v>
      </c>
      <c r="N37" s="1">
        <v>1.0123734533183255</v>
      </c>
      <c r="O37" s="1">
        <v>-47.914755351682118</v>
      </c>
      <c r="P37" s="1">
        <v>-37.849656539904217</v>
      </c>
    </row>
    <row r="38" spans="2:16" x14ac:dyDescent="0.25">
      <c r="B38" s="1">
        <v>2022</v>
      </c>
      <c r="C38" s="1" t="s">
        <v>44</v>
      </c>
      <c r="D38" s="1">
        <v>1.3317191283293082</v>
      </c>
      <c r="E38" s="1">
        <v>-0.71123755334281646</v>
      </c>
      <c r="F38" s="1">
        <v>6.1439438267992976</v>
      </c>
      <c r="G38" s="1">
        <v>0.81919251023990969</v>
      </c>
      <c r="H38" s="1">
        <v>-8.312468703054579</v>
      </c>
      <c r="I38" s="1">
        <v>0.41224970553591794</v>
      </c>
      <c r="J38" s="1">
        <v>0.16406890894174619</v>
      </c>
      <c r="K38" s="1">
        <v>1.4507253626813434</v>
      </c>
      <c r="L38" s="1">
        <v>0.29429075927015891</v>
      </c>
      <c r="M38" s="1">
        <v>0.63728093467869806</v>
      </c>
      <c r="N38" s="1">
        <v>-0.7238307349665829</v>
      </c>
      <c r="O38" s="1">
        <v>28.080045577554909</v>
      </c>
      <c r="P38" s="1">
        <v>-187.52405656430335</v>
      </c>
    </row>
    <row r="39" spans="2:16" x14ac:dyDescent="0.25">
      <c r="B39" s="1">
        <v>2022</v>
      </c>
      <c r="C39" s="1" t="s">
        <v>45</v>
      </c>
      <c r="D39" s="1">
        <v>1.075268817204291</v>
      </c>
      <c r="E39" s="1">
        <v>-0.19102196752626824</v>
      </c>
      <c r="F39" s="1">
        <v>4.8511576626240256</v>
      </c>
      <c r="G39" s="1">
        <v>0.75449796865930518</v>
      </c>
      <c r="H39" s="1">
        <v>-12.670671764063348</v>
      </c>
      <c r="I39" s="1">
        <v>0.1759530791788923</v>
      </c>
      <c r="J39" s="1">
        <v>-0.2457002457002434</v>
      </c>
      <c r="K39" s="1">
        <v>1.1834319526627106</v>
      </c>
      <c r="L39" s="1">
        <v>0.35211267605633467</v>
      </c>
      <c r="M39" s="1">
        <v>0.42216358839050727</v>
      </c>
      <c r="N39" s="1">
        <v>-1.3460459899046582</v>
      </c>
      <c r="O39" s="1">
        <v>-19.257086999023866</v>
      </c>
      <c r="P39" s="1">
        <v>-73.142311365806691</v>
      </c>
    </row>
    <row r="40" spans="2:16" x14ac:dyDescent="0.25">
      <c r="B40" s="1">
        <v>2023</v>
      </c>
      <c r="C40" s="1" t="s">
        <v>31</v>
      </c>
      <c r="D40" s="1">
        <v>2.7186761229314556</v>
      </c>
      <c r="E40" s="1">
        <v>0.81339712918659746</v>
      </c>
      <c r="F40" s="1">
        <v>2.2607781282860206</v>
      </c>
      <c r="G40" s="1">
        <v>0.57603686635944706</v>
      </c>
      <c r="H40" s="1">
        <v>-3.7523452157598496</v>
      </c>
      <c r="I40" s="1">
        <v>5.8548009367678171E-2</v>
      </c>
      <c r="J40" s="1">
        <v>-0.57471264367816322</v>
      </c>
      <c r="K40" s="1">
        <v>1.5594541910331468</v>
      </c>
      <c r="L40" s="1">
        <v>0.23391812865497411</v>
      </c>
      <c r="M40" s="1">
        <v>0.47293746715710833</v>
      </c>
      <c r="N40" s="1">
        <v>0.45480386583284982</v>
      </c>
      <c r="O40" s="1">
        <v>152.83687943262774</v>
      </c>
      <c r="P40" s="1">
        <v>-525.8133971291777</v>
      </c>
    </row>
    <row r="41" spans="2:16" x14ac:dyDescent="0.25">
      <c r="B41" s="1">
        <v>2023</v>
      </c>
      <c r="C41" s="1" t="s">
        <v>35</v>
      </c>
      <c r="D41" s="1">
        <v>0.34522439585730397</v>
      </c>
      <c r="E41" s="1">
        <v>-1.423825344091125</v>
      </c>
      <c r="F41" s="1">
        <v>-9.922879177377899</v>
      </c>
      <c r="G41" s="1">
        <v>1.5463917525773294</v>
      </c>
      <c r="H41" s="1">
        <v>-0.77972709551658026</v>
      </c>
      <c r="I41" s="1">
        <v>5.8513750731418554E-2</v>
      </c>
      <c r="J41" s="1">
        <v>-0.90834021469859161</v>
      </c>
      <c r="K41" s="1">
        <v>0.62380038387715109</v>
      </c>
      <c r="L41" s="1">
        <v>0.52508751458576763</v>
      </c>
      <c r="M41" s="1">
        <v>0.94142259414226537</v>
      </c>
      <c r="N41" s="1">
        <v>0.16977928692700134</v>
      </c>
      <c r="O41" s="1">
        <v>-87.301746134987937</v>
      </c>
      <c r="P41" s="1">
        <v>-275.04676289120414</v>
      </c>
    </row>
    <row r="42" spans="2:16" x14ac:dyDescent="0.25">
      <c r="B42" s="1">
        <v>2023</v>
      </c>
      <c r="C42" s="1" t="s">
        <v>36</v>
      </c>
      <c r="D42" s="1">
        <v>0</v>
      </c>
      <c r="E42" s="1">
        <v>0</v>
      </c>
      <c r="F42" s="1">
        <v>0</v>
      </c>
      <c r="G42" s="1">
        <v>0</v>
      </c>
      <c r="H42" s="1">
        <v>6.5487884741337751E-2</v>
      </c>
      <c r="I42" s="1">
        <v>5.8479532163739363E-2</v>
      </c>
      <c r="J42" s="1">
        <v>0</v>
      </c>
      <c r="K42" s="1">
        <v>0</v>
      </c>
      <c r="L42" s="1">
        <v>0</v>
      </c>
      <c r="M42" s="1">
        <v>0</v>
      </c>
      <c r="N42" s="1">
        <v>0</v>
      </c>
      <c r="O42" s="1">
        <v>-100</v>
      </c>
      <c r="P42" s="1">
        <v>-100</v>
      </c>
    </row>
    <row r="43" spans="2:16" x14ac:dyDescent="0.25">
      <c r="B43" s="1">
        <v>2023</v>
      </c>
      <c r="C43" s="1" t="s">
        <v>37</v>
      </c>
      <c r="D43" s="1">
        <v>-0.34403669724770314</v>
      </c>
      <c r="E43" s="1">
        <v>0.77034183919115207</v>
      </c>
      <c r="F43" s="1">
        <v>-3.1963470319634673</v>
      </c>
      <c r="G43" s="1">
        <v>0.62041737168640398</v>
      </c>
      <c r="H43" s="1">
        <v>1.7015706806282684</v>
      </c>
      <c r="I43" s="1">
        <v>1.3442431326709592</v>
      </c>
      <c r="J43" s="1">
        <v>1.083333333333331</v>
      </c>
      <c r="K43" s="1">
        <v>1.5259895088221351</v>
      </c>
      <c r="L43" s="1">
        <v>0.34822983168891136</v>
      </c>
      <c r="M43" s="1">
        <v>0.2590673575129534</v>
      </c>
      <c r="N43" s="1">
        <v>0.50847457627118964</v>
      </c>
      <c r="O43" s="1"/>
      <c r="P43" s="1"/>
    </row>
    <row r="44" spans="2:16" x14ac:dyDescent="0.25">
      <c r="B44" s="1">
        <v>2023</v>
      </c>
      <c r="C44" s="1" t="s">
        <v>38</v>
      </c>
      <c r="D44" s="1">
        <v>-5.7537399309564287E-2</v>
      </c>
      <c r="E44" s="1">
        <v>2.3889154323936932</v>
      </c>
      <c r="F44" s="1">
        <v>2.1226415094339588</v>
      </c>
      <c r="G44" s="1">
        <v>0.61659192825111786</v>
      </c>
      <c r="H44" s="1">
        <v>3.6036036036036001</v>
      </c>
      <c r="I44" s="1">
        <v>1.268742791234134</v>
      </c>
      <c r="J44" s="1">
        <v>1.1541632316570534</v>
      </c>
      <c r="K44" s="1">
        <v>2.3954908407703117</v>
      </c>
      <c r="L44" s="1">
        <v>0.2891844997108155</v>
      </c>
      <c r="M44" s="1">
        <v>0.36175710594314658</v>
      </c>
      <c r="N44" s="1">
        <v>0.6745362563237709</v>
      </c>
      <c r="O44" s="1">
        <v>-83.275795934019811</v>
      </c>
      <c r="P44" s="1">
        <v>210.11108456760189</v>
      </c>
    </row>
    <row r="46" spans="2:16" x14ac:dyDescent="0.25">
      <c r="C46" s="42" t="s">
        <v>239</v>
      </c>
      <c r="D46" s="37">
        <f t="shared" ref="D46:P46" si="1">SUM(D33:D44)</f>
        <v>12.085220029035371</v>
      </c>
      <c r="E46" s="37">
        <f t="shared" si="1"/>
        <v>-1.0960038075584961</v>
      </c>
      <c r="F46" s="37">
        <f t="shared" si="1"/>
        <v>7.585802092885797</v>
      </c>
      <c r="G46" s="37">
        <f t="shared" si="1"/>
        <v>8.5207275393248896</v>
      </c>
      <c r="H46" s="37">
        <f t="shared" si="1"/>
        <v>-11.618753141804762</v>
      </c>
      <c r="I46" s="37">
        <f t="shared" si="1"/>
        <v>5.9318798655159055</v>
      </c>
      <c r="J46" s="37">
        <f t="shared" si="1"/>
        <v>6.562905770088399</v>
      </c>
      <c r="K46" s="37">
        <f t="shared" si="1"/>
        <v>15.169683733689968</v>
      </c>
      <c r="L46" s="37">
        <f t="shared" si="1"/>
        <v>3.3958434091501504</v>
      </c>
      <c r="M46" s="37">
        <f t="shared" si="1"/>
        <v>6.6560214551546064</v>
      </c>
      <c r="N46" s="37">
        <f t="shared" si="1"/>
        <v>2.8797010836310775</v>
      </c>
      <c r="O46" s="37">
        <f t="shared" si="1"/>
        <v>42.753076224379413</v>
      </c>
      <c r="P46" s="37">
        <f t="shared" si="1"/>
        <v>-1490.3232900262603</v>
      </c>
    </row>
    <row r="50" spans="4:6" ht="13" thickBot="1" x14ac:dyDescent="0.3"/>
    <row r="51" spans="4:6" ht="13" x14ac:dyDescent="0.3">
      <c r="D51" s="82" t="s">
        <v>297</v>
      </c>
      <c r="E51" s="83"/>
      <c r="F51" s="84"/>
    </row>
    <row r="52" spans="4:6" ht="13.5" thickBot="1" x14ac:dyDescent="0.35">
      <c r="D52" s="88" t="s">
        <v>298</v>
      </c>
      <c r="E52" s="89"/>
      <c r="F52" s="90"/>
    </row>
  </sheetData>
  <mergeCells count="3">
    <mergeCell ref="B1:C1"/>
    <mergeCell ref="D51:F51"/>
    <mergeCell ref="D52:F5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00C66-B5A9-4851-92A2-B0056554BF93}">
  <dimension ref="B1:R62"/>
  <sheetViews>
    <sheetView showGridLines="0" topLeftCell="A24" zoomScale="65" workbookViewId="0">
      <selection activeCell="F65" sqref="F65"/>
    </sheetView>
  </sheetViews>
  <sheetFormatPr defaultRowHeight="12.5" x14ac:dyDescent="0.25"/>
  <cols>
    <col min="2" max="2" width="11.90625" customWidth="1"/>
    <col min="4" max="4" width="17.1796875" customWidth="1"/>
    <col min="5" max="5" width="21.81640625" customWidth="1"/>
    <col min="6" max="6" width="18.453125" customWidth="1"/>
    <col min="8" max="8" width="13.26953125" customWidth="1"/>
    <col min="9" max="9" width="14.36328125" customWidth="1"/>
    <col min="10" max="10" width="19.6328125" customWidth="1"/>
    <col min="11" max="11" width="21.7265625" customWidth="1"/>
    <col min="12" max="12" width="18.6328125" customWidth="1"/>
    <col min="16" max="16" width="19.08984375" customWidth="1"/>
    <col min="17" max="17" width="23.6328125" customWidth="1"/>
    <col min="18" max="18" width="21.81640625" customWidth="1"/>
  </cols>
  <sheetData>
    <row r="1" spans="2:18" ht="15.5" x14ac:dyDescent="0.35">
      <c r="B1" s="87" t="s">
        <v>255</v>
      </c>
      <c r="C1" s="87"/>
      <c r="D1" s="87"/>
      <c r="E1" s="38" t="s">
        <v>296</v>
      </c>
    </row>
    <row r="3" spans="2:18" ht="13" thickBot="1" x14ac:dyDescent="0.3"/>
    <row r="4" spans="2:18" ht="13.5" thickBot="1" x14ac:dyDescent="0.35">
      <c r="B4" s="46" t="s">
        <v>249</v>
      </c>
      <c r="C4" s="83" t="s">
        <v>250</v>
      </c>
      <c r="D4" s="84"/>
      <c r="E4" s="19"/>
      <c r="H4" s="82" t="s">
        <v>250</v>
      </c>
      <c r="I4" s="84"/>
    </row>
    <row r="5" spans="2:18" ht="13" x14ac:dyDescent="0.3">
      <c r="B5" s="47" t="s">
        <v>1</v>
      </c>
      <c r="C5" s="48" t="s">
        <v>2</v>
      </c>
      <c r="D5" s="49" t="s">
        <v>252</v>
      </c>
      <c r="E5" s="49" t="s">
        <v>253</v>
      </c>
      <c r="F5" s="50" t="s">
        <v>254</v>
      </c>
      <c r="H5" s="47" t="s">
        <v>1</v>
      </c>
      <c r="I5" s="48" t="s">
        <v>2</v>
      </c>
      <c r="J5" s="48" t="s">
        <v>252</v>
      </c>
      <c r="K5" s="48" t="s">
        <v>253</v>
      </c>
      <c r="L5" s="57" t="s">
        <v>254</v>
      </c>
      <c r="N5" s="47" t="s">
        <v>1</v>
      </c>
      <c r="O5" s="48" t="s">
        <v>2</v>
      </c>
      <c r="P5" s="48" t="s">
        <v>252</v>
      </c>
      <c r="Q5" s="48" t="s">
        <v>253</v>
      </c>
      <c r="R5" s="57" t="s">
        <v>254</v>
      </c>
    </row>
    <row r="6" spans="2:18" ht="13" thickBot="1" x14ac:dyDescent="0.3">
      <c r="B6" s="51">
        <v>2018</v>
      </c>
      <c r="C6" s="1" t="s">
        <v>36</v>
      </c>
      <c r="D6" s="45">
        <v>-0.24994319472847595</v>
      </c>
      <c r="E6" s="45">
        <v>0.36809815950920244</v>
      </c>
      <c r="F6" s="52">
        <v>0.37369207772795215</v>
      </c>
      <c r="H6" s="51">
        <v>2020</v>
      </c>
      <c r="I6" s="1" t="s">
        <v>37</v>
      </c>
      <c r="J6" s="45">
        <v>3.495304421230347</v>
      </c>
      <c r="K6" s="45">
        <v>-0.95415537488707447</v>
      </c>
      <c r="L6" s="52">
        <v>-1.0505581089954186</v>
      </c>
      <c r="N6" s="51">
        <v>2020</v>
      </c>
      <c r="O6" s="54" t="s">
        <v>36</v>
      </c>
      <c r="P6" s="45">
        <v>-0.84745762711863448</v>
      </c>
      <c r="Q6" s="45">
        <v>0.13568521031206826</v>
      </c>
      <c r="R6" s="45">
        <v>0.39551746868821541</v>
      </c>
    </row>
    <row r="7" spans="2:18" x14ac:dyDescent="0.25">
      <c r="B7" s="51">
        <v>2018</v>
      </c>
      <c r="C7" s="1" t="s">
        <v>37</v>
      </c>
      <c r="D7" s="45">
        <v>6.2642369020508917E-2</v>
      </c>
      <c r="E7" s="45">
        <v>0.64792176039119243</v>
      </c>
      <c r="F7" s="52">
        <v>0.6701414743112265</v>
      </c>
      <c r="H7" s="51">
        <v>2020</v>
      </c>
      <c r="I7" s="1" t="s">
        <v>38</v>
      </c>
      <c r="J7" s="45">
        <v>15.495883567404961</v>
      </c>
      <c r="K7" s="45">
        <v>0.49307416063385023</v>
      </c>
      <c r="L7" s="52">
        <v>1.2276045122760604</v>
      </c>
    </row>
    <row r="8" spans="2:18" x14ac:dyDescent="0.25">
      <c r="B8" s="51">
        <v>2018</v>
      </c>
      <c r="C8" s="1" t="s">
        <v>38</v>
      </c>
      <c r="D8" s="45">
        <v>0.15366228444595173</v>
      </c>
      <c r="E8" s="45">
        <v>0.47370338880116331</v>
      </c>
      <c r="F8" s="52">
        <v>0.59171597633136941</v>
      </c>
      <c r="H8" s="51">
        <v>2020</v>
      </c>
      <c r="I8" s="1" t="s">
        <v>39</v>
      </c>
      <c r="J8" s="45">
        <v>-13.189517241379283</v>
      </c>
      <c r="K8" s="45">
        <v>0.49065486826059113</v>
      </c>
      <c r="L8" s="52">
        <v>1.2127171419206779</v>
      </c>
    </row>
    <row r="9" spans="2:18" x14ac:dyDescent="0.25">
      <c r="B9" s="51">
        <v>2018</v>
      </c>
      <c r="C9" s="1" t="s">
        <v>39</v>
      </c>
      <c r="D9" s="45">
        <v>0.81259234003865111</v>
      </c>
      <c r="E9" s="45">
        <v>0.36266924564798281</v>
      </c>
      <c r="F9" s="52">
        <v>0.14705882352940342</v>
      </c>
      <c r="H9" s="51">
        <v>2020</v>
      </c>
      <c r="I9" s="1" t="s">
        <v>40</v>
      </c>
      <c r="J9" s="45">
        <v>0</v>
      </c>
      <c r="K9" s="45">
        <v>0</v>
      </c>
      <c r="L9" s="52">
        <v>0</v>
      </c>
    </row>
    <row r="10" spans="2:18" x14ac:dyDescent="0.25">
      <c r="B10" s="51">
        <v>2018</v>
      </c>
      <c r="C10" s="1" t="s">
        <v>40</v>
      </c>
      <c r="D10" s="45">
        <v>1.1949720985288212</v>
      </c>
      <c r="E10" s="45">
        <v>0.67453625632376646</v>
      </c>
      <c r="F10" s="52">
        <v>0.58737151248165298</v>
      </c>
      <c r="H10" s="51">
        <v>2020</v>
      </c>
      <c r="I10" s="1" t="s">
        <v>41</v>
      </c>
      <c r="J10" s="45">
        <v>1.4439699003457207</v>
      </c>
      <c r="K10" s="45">
        <v>1.1063445473018818</v>
      </c>
      <c r="L10" s="52">
        <v>0.38860103626942638</v>
      </c>
    </row>
    <row r="11" spans="2:18" x14ac:dyDescent="0.25">
      <c r="B11" s="51">
        <v>2018</v>
      </c>
      <c r="C11" s="1" t="s">
        <v>41</v>
      </c>
      <c r="D11" s="45">
        <v>0.18938338996269807</v>
      </c>
      <c r="E11" s="45">
        <v>0.65805216558985413</v>
      </c>
      <c r="F11" s="52">
        <v>0.51094890510948077</v>
      </c>
      <c r="H11" s="51">
        <v>2020</v>
      </c>
      <c r="I11" s="1" t="s">
        <v>42</v>
      </c>
      <c r="J11" s="45">
        <v>0.59141940657579106</v>
      </c>
      <c r="K11" s="45">
        <v>0.15631978561858989</v>
      </c>
      <c r="L11" s="52">
        <v>0.38709677419354471</v>
      </c>
    </row>
    <row r="12" spans="2:18" x14ac:dyDescent="0.25">
      <c r="B12" s="51">
        <v>2018</v>
      </c>
      <c r="C12" s="1" t="s">
        <v>42</v>
      </c>
      <c r="D12" s="45">
        <v>-1.0674375938177723</v>
      </c>
      <c r="E12" s="45">
        <v>0.55865921787710038</v>
      </c>
      <c r="F12" s="52">
        <v>0.5083514887436581</v>
      </c>
      <c r="H12" s="51">
        <v>2020</v>
      </c>
      <c r="I12" s="1" t="s">
        <v>43</v>
      </c>
      <c r="J12" s="45">
        <v>2.0727453911310598</v>
      </c>
      <c r="K12" s="45">
        <v>0.30100334448158506</v>
      </c>
      <c r="L12" s="52">
        <v>0.44987146529564076</v>
      </c>
    </row>
    <row r="13" spans="2:18" x14ac:dyDescent="0.25">
      <c r="B13" s="51">
        <v>2018</v>
      </c>
      <c r="C13" s="1" t="s">
        <v>43</v>
      </c>
      <c r="D13" s="45">
        <v>-0.18544534981736188</v>
      </c>
      <c r="E13" s="45">
        <v>1.0047281323877069</v>
      </c>
      <c r="F13" s="52">
        <v>2.6734104046242693</v>
      </c>
      <c r="H13" s="51">
        <v>2020</v>
      </c>
      <c r="I13" s="1" t="s">
        <v>44</v>
      </c>
      <c r="J13" s="45">
        <v>2.2942497315239447</v>
      </c>
      <c r="K13" s="45">
        <v>0.32232966544403441</v>
      </c>
      <c r="L13" s="52">
        <v>0.57581573896351712</v>
      </c>
    </row>
    <row r="14" spans="2:18" x14ac:dyDescent="0.25">
      <c r="B14" s="51">
        <v>2018</v>
      </c>
      <c r="C14" s="1" t="s">
        <v>44</v>
      </c>
      <c r="D14" s="45">
        <v>-2.8149983109997334E-2</v>
      </c>
      <c r="E14" s="45">
        <v>-3.5108250438847813E-2</v>
      </c>
      <c r="F14" s="52">
        <v>0</v>
      </c>
      <c r="H14" s="51">
        <v>2020</v>
      </c>
      <c r="I14" s="1" t="s">
        <v>45</v>
      </c>
      <c r="J14" s="45">
        <v>0.64420690971559469</v>
      </c>
      <c r="K14" s="45">
        <v>0.42100598271660411</v>
      </c>
      <c r="L14" s="52">
        <v>0.69974554707380587</v>
      </c>
    </row>
    <row r="15" spans="2:18" x14ac:dyDescent="0.25">
      <c r="B15" s="51">
        <v>2018</v>
      </c>
      <c r="C15" s="1" t="s">
        <v>45</v>
      </c>
      <c r="D15" s="45">
        <v>-0.72647406656532887</v>
      </c>
      <c r="E15" s="45">
        <v>-0.1521891828611513</v>
      </c>
      <c r="F15" s="52">
        <v>1.9704433497537026</v>
      </c>
      <c r="H15" s="51">
        <v>2021</v>
      </c>
      <c r="I15" s="1" t="s">
        <v>36</v>
      </c>
      <c r="J15" s="45">
        <v>-3.3047271347968352</v>
      </c>
      <c r="K15" s="45">
        <v>2.5375110326566763</v>
      </c>
      <c r="L15" s="52">
        <v>2.1478205938092083</v>
      </c>
    </row>
    <row r="16" spans="2:18" x14ac:dyDescent="0.25">
      <c r="B16" s="51">
        <v>2019</v>
      </c>
      <c r="C16" s="1" t="s">
        <v>31</v>
      </c>
      <c r="D16" s="45">
        <v>-0.533242568640791</v>
      </c>
      <c r="E16" s="45">
        <v>-0.2579434869269604</v>
      </c>
      <c r="F16" s="52">
        <v>0.13802622498273887</v>
      </c>
      <c r="H16" s="51">
        <v>2021</v>
      </c>
      <c r="I16" s="1" t="s">
        <v>37</v>
      </c>
      <c r="J16" s="45">
        <v>1.2111405315288835</v>
      </c>
      <c r="K16" s="45">
        <v>0.38734667527438521</v>
      </c>
      <c r="L16" s="52">
        <v>0.3710575139146709</v>
      </c>
    </row>
    <row r="17" spans="2:12" x14ac:dyDescent="0.25">
      <c r="B17" s="51">
        <v>2019</v>
      </c>
      <c r="C17" s="1" t="s">
        <v>35</v>
      </c>
      <c r="D17" s="45">
        <v>0.2110185924489589</v>
      </c>
      <c r="E17" s="45">
        <v>7.0530151639815325E-2</v>
      </c>
      <c r="F17" s="52">
        <v>0.34458993797381116</v>
      </c>
      <c r="H17" s="51">
        <v>2021</v>
      </c>
      <c r="I17" s="1" t="s">
        <v>38</v>
      </c>
      <c r="J17" s="45">
        <v>2.0154062303183164</v>
      </c>
      <c r="K17" s="45">
        <v>1.4147909967845218</v>
      </c>
      <c r="L17" s="52">
        <v>2.1565003080714726</v>
      </c>
    </row>
    <row r="18" spans="2:12" x14ac:dyDescent="0.25">
      <c r="B18" s="51">
        <v>2019</v>
      </c>
      <c r="C18" s="1" t="s">
        <v>36</v>
      </c>
      <c r="D18" s="45">
        <v>0.33008935177281784</v>
      </c>
      <c r="E18" s="45">
        <v>0.32890872782804909</v>
      </c>
      <c r="F18" s="52">
        <v>0.41208791208790818</v>
      </c>
      <c r="H18" s="51">
        <v>2021</v>
      </c>
      <c r="I18" s="1" t="s">
        <v>39</v>
      </c>
      <c r="J18" s="45">
        <v>1.3392221114118732</v>
      </c>
      <c r="K18" s="45">
        <v>0.21137180300150366</v>
      </c>
      <c r="L18" s="52">
        <v>0.30156815440289503</v>
      </c>
    </row>
    <row r="19" spans="2:12" x14ac:dyDescent="0.25">
      <c r="B19" s="51">
        <v>2019</v>
      </c>
      <c r="C19" s="1" t="s">
        <v>38</v>
      </c>
      <c r="D19" s="45">
        <v>1.6450167337909254</v>
      </c>
      <c r="E19" s="45">
        <v>0.44491277367987825</v>
      </c>
      <c r="F19" s="52">
        <v>0.47879616963065463</v>
      </c>
      <c r="H19" s="51">
        <v>2021</v>
      </c>
      <c r="I19" s="1" t="s">
        <v>40</v>
      </c>
      <c r="J19" s="45">
        <v>0.61389943296311489</v>
      </c>
      <c r="K19" s="45">
        <v>0.79097236869858678</v>
      </c>
      <c r="L19" s="52">
        <v>0.42092603728201361</v>
      </c>
    </row>
    <row r="20" spans="2:12" x14ac:dyDescent="0.25">
      <c r="B20" s="51">
        <v>2019</v>
      </c>
      <c r="C20" s="1" t="s">
        <v>39</v>
      </c>
      <c r="D20" s="45">
        <v>1.2389084212288528</v>
      </c>
      <c r="E20" s="45">
        <v>0.11656370206317754</v>
      </c>
      <c r="F20" s="52">
        <v>0.3403675970047651</v>
      </c>
      <c r="H20" s="51">
        <v>2021</v>
      </c>
      <c r="I20" s="1" t="s">
        <v>41</v>
      </c>
      <c r="J20" s="45">
        <v>-0.2328830926874709</v>
      </c>
      <c r="K20" s="45">
        <v>0.78476509364863445</v>
      </c>
      <c r="L20" s="52">
        <v>0.83832335329341656</v>
      </c>
    </row>
    <row r="21" spans="2:12" x14ac:dyDescent="0.25">
      <c r="B21" s="51">
        <v>2019</v>
      </c>
      <c r="C21" s="1" t="s">
        <v>40</v>
      </c>
      <c r="D21" s="45">
        <v>1.289895816107153</v>
      </c>
      <c r="E21" s="45">
        <v>0.27942717429271058</v>
      </c>
      <c r="F21" s="52">
        <v>0.33921302578018991</v>
      </c>
      <c r="H21" s="51">
        <v>2021</v>
      </c>
      <c r="I21" s="1" t="s">
        <v>42</v>
      </c>
      <c r="J21" s="45">
        <v>0</v>
      </c>
      <c r="K21" s="45">
        <v>0</v>
      </c>
      <c r="L21" s="52">
        <v>0</v>
      </c>
    </row>
    <row r="22" spans="2:12" x14ac:dyDescent="0.25">
      <c r="B22" s="51">
        <v>2019</v>
      </c>
      <c r="C22" s="1" t="s">
        <v>41</v>
      </c>
      <c r="D22" s="45">
        <v>0.48979591836734693</v>
      </c>
      <c r="E22" s="45">
        <v>0.22059677232089436</v>
      </c>
      <c r="F22" s="52">
        <v>0.40567951318458034</v>
      </c>
      <c r="H22" s="51">
        <v>2021</v>
      </c>
      <c r="I22" s="1" t="s">
        <v>43</v>
      </c>
      <c r="J22" s="45">
        <v>1.5639589169000934</v>
      </c>
      <c r="K22" s="45">
        <v>0.71636212624584472</v>
      </c>
      <c r="L22" s="52">
        <v>0.41567695961994572</v>
      </c>
    </row>
    <row r="23" spans="2:12" x14ac:dyDescent="0.25">
      <c r="B23" s="51">
        <v>2019</v>
      </c>
      <c r="C23" s="1" t="s">
        <v>42</v>
      </c>
      <c r="D23" s="45">
        <v>0.60655293799078358</v>
      </c>
      <c r="E23" s="45">
        <v>0.23169601482855817</v>
      </c>
      <c r="F23" s="52">
        <v>0.33670033670033667</v>
      </c>
      <c r="H23" s="51">
        <v>2021</v>
      </c>
      <c r="I23" s="1" t="s">
        <v>44</v>
      </c>
      <c r="J23" s="45">
        <v>0.85497586761663569</v>
      </c>
      <c r="K23" s="45">
        <v>0.22678074425316275</v>
      </c>
      <c r="L23" s="52">
        <v>0.47309284447073408</v>
      </c>
    </row>
    <row r="24" spans="2:12" x14ac:dyDescent="0.25">
      <c r="B24" s="51">
        <v>2019</v>
      </c>
      <c r="C24" s="1" t="s">
        <v>43</v>
      </c>
      <c r="D24" s="45">
        <v>1.501857135167135</v>
      </c>
      <c r="E24" s="45">
        <v>0.38141470180303289</v>
      </c>
      <c r="F24" s="52">
        <v>0.26845637583892995</v>
      </c>
      <c r="H24" s="51">
        <v>2021</v>
      </c>
      <c r="I24" s="1" t="s">
        <v>45</v>
      </c>
      <c r="J24" s="45">
        <v>-0.60161341780227973</v>
      </c>
      <c r="K24" s="45">
        <v>0.25712228735988008</v>
      </c>
      <c r="L24" s="52">
        <v>0.41200706297821577</v>
      </c>
    </row>
    <row r="25" spans="2:12" x14ac:dyDescent="0.25">
      <c r="B25" s="51">
        <v>2019</v>
      </c>
      <c r="C25" s="1" t="s">
        <v>44</v>
      </c>
      <c r="D25" s="45">
        <v>1.3417479847263689</v>
      </c>
      <c r="E25" s="45">
        <v>0.3799654576856859</v>
      </c>
      <c r="F25" s="52">
        <v>0.33467202141900937</v>
      </c>
      <c r="H25" s="51">
        <v>2022</v>
      </c>
      <c r="I25" s="1" t="s">
        <v>31</v>
      </c>
      <c r="J25" s="45">
        <v>-0.76573891512679504</v>
      </c>
      <c r="K25" s="45">
        <v>0.48215018465325521</v>
      </c>
      <c r="L25" s="52">
        <v>0.46893317702228099</v>
      </c>
    </row>
    <row r="26" spans="2:12" x14ac:dyDescent="0.25">
      <c r="B26" s="51">
        <v>2019</v>
      </c>
      <c r="C26" s="1" t="s">
        <v>45</v>
      </c>
      <c r="D26" s="45">
        <v>1.8420639489245927</v>
      </c>
      <c r="E26" s="45">
        <v>0.57352603808211589</v>
      </c>
      <c r="F26" s="52">
        <v>0.33355570380253502</v>
      </c>
      <c r="H26" s="51">
        <v>2022</v>
      </c>
      <c r="I26" s="1" t="s">
        <v>35</v>
      </c>
      <c r="J26" s="45">
        <v>-0.13861935126141509</v>
      </c>
      <c r="K26" s="45">
        <v>0.55130168453292272</v>
      </c>
      <c r="L26" s="52">
        <v>0.46674445740955833</v>
      </c>
    </row>
    <row r="27" spans="2:12" x14ac:dyDescent="0.25">
      <c r="B27" s="51">
        <v>2020</v>
      </c>
      <c r="C27" s="1" t="s">
        <v>31</v>
      </c>
      <c r="D27" s="45">
        <v>-0.29289347926623877</v>
      </c>
      <c r="E27" s="45">
        <v>0.46760948905111044</v>
      </c>
      <c r="F27" s="52">
        <v>0.53191489361700994</v>
      </c>
      <c r="H27" s="51">
        <v>2022</v>
      </c>
      <c r="I27" s="1" t="s">
        <v>36</v>
      </c>
      <c r="J27" s="45">
        <v>1.0642235794928743</v>
      </c>
      <c r="K27" s="45">
        <v>0.54827901309777416</v>
      </c>
      <c r="L27" s="52">
        <v>0.46457607433217851</v>
      </c>
    </row>
    <row r="28" spans="2:12" ht="13" thickBot="1" x14ac:dyDescent="0.3">
      <c r="B28" s="53">
        <v>2020</v>
      </c>
      <c r="C28" s="54" t="s">
        <v>35</v>
      </c>
      <c r="D28" s="55">
        <v>-1.4842300556586248</v>
      </c>
      <c r="E28" s="55">
        <v>0.39732092178453848</v>
      </c>
      <c r="F28" s="56">
        <v>0.3306878306878307</v>
      </c>
      <c r="H28" s="53">
        <v>2022</v>
      </c>
      <c r="I28" s="54" t="s">
        <v>37</v>
      </c>
      <c r="J28" s="55">
        <v>4.3494185514146837</v>
      </c>
      <c r="K28" s="55">
        <v>6.4222962738564222</v>
      </c>
      <c r="L28" s="56">
        <v>6.5895953757225474</v>
      </c>
    </row>
    <row r="31" spans="2:12" x14ac:dyDescent="0.25">
      <c r="G31" s="91" t="s">
        <v>257</v>
      </c>
    </row>
    <row r="32" spans="2:12" x14ac:dyDescent="0.25">
      <c r="G32" s="91"/>
    </row>
    <row r="33" spans="7:7" x14ac:dyDescent="0.25">
      <c r="G33" s="91"/>
    </row>
    <row r="34" spans="7:7" x14ac:dyDescent="0.25">
      <c r="G34" s="91"/>
    </row>
    <row r="35" spans="7:7" x14ac:dyDescent="0.25">
      <c r="G35" s="91"/>
    </row>
    <row r="36" spans="7:7" x14ac:dyDescent="0.25">
      <c r="G36" s="91"/>
    </row>
    <row r="37" spans="7:7" x14ac:dyDescent="0.25">
      <c r="G37" s="91"/>
    </row>
    <row r="38" spans="7:7" x14ac:dyDescent="0.25">
      <c r="G38" s="91"/>
    </row>
    <row r="39" spans="7:7" x14ac:dyDescent="0.25">
      <c r="G39" s="91"/>
    </row>
    <row r="40" spans="7:7" x14ac:dyDescent="0.25">
      <c r="G40" s="91"/>
    </row>
    <row r="41" spans="7:7" x14ac:dyDescent="0.25">
      <c r="G41" s="91"/>
    </row>
    <row r="42" spans="7:7" x14ac:dyDescent="0.25">
      <c r="G42" s="91"/>
    </row>
    <row r="43" spans="7:7" x14ac:dyDescent="0.25">
      <c r="G43" s="91"/>
    </row>
    <row r="44" spans="7:7" x14ac:dyDescent="0.25">
      <c r="G44" s="91"/>
    </row>
    <row r="45" spans="7:7" x14ac:dyDescent="0.25">
      <c r="G45" s="91"/>
    </row>
    <row r="46" spans="7:7" x14ac:dyDescent="0.25">
      <c r="G46" s="91"/>
    </row>
    <row r="47" spans="7:7" x14ac:dyDescent="0.25">
      <c r="G47" s="91"/>
    </row>
    <row r="48" spans="7:7" x14ac:dyDescent="0.25">
      <c r="G48" s="91"/>
    </row>
    <row r="49" spans="2:7" x14ac:dyDescent="0.25">
      <c r="G49" s="91"/>
    </row>
    <row r="50" spans="2:7" x14ac:dyDescent="0.25">
      <c r="G50" s="91"/>
    </row>
    <row r="56" spans="2:7" ht="13" x14ac:dyDescent="0.3">
      <c r="B56" s="29" t="s">
        <v>221</v>
      </c>
    </row>
    <row r="57" spans="2:7" ht="13" x14ac:dyDescent="0.3">
      <c r="B57" s="19" t="s">
        <v>258</v>
      </c>
    </row>
    <row r="58" spans="2:7" ht="13" x14ac:dyDescent="0.3">
      <c r="B58" s="19" t="s">
        <v>259</v>
      </c>
    </row>
    <row r="59" spans="2:7" ht="13" x14ac:dyDescent="0.3">
      <c r="B59" s="19" t="s">
        <v>260</v>
      </c>
    </row>
    <row r="60" spans="2:7" ht="13" x14ac:dyDescent="0.3">
      <c r="B60" s="19" t="s">
        <v>261</v>
      </c>
    </row>
    <row r="61" spans="2:7" ht="13" x14ac:dyDescent="0.3">
      <c r="B61" s="19" t="s">
        <v>262</v>
      </c>
    </row>
    <row r="62" spans="2:7" ht="13" x14ac:dyDescent="0.3">
      <c r="B62" s="19" t="s">
        <v>263</v>
      </c>
    </row>
  </sheetData>
  <mergeCells count="4">
    <mergeCell ref="G31:G50"/>
    <mergeCell ref="B1:D1"/>
    <mergeCell ref="C4:D4"/>
    <mergeCell ref="H4:I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A6EE-9B1A-4A5F-B6C6-07F81E899340}">
  <dimension ref="A1:AJ53"/>
  <sheetViews>
    <sheetView topLeftCell="M1" zoomScale="72" workbookViewId="0">
      <selection activeCell="AA13" sqref="AA13"/>
    </sheetView>
  </sheetViews>
  <sheetFormatPr defaultRowHeight="12.5" x14ac:dyDescent="0.25"/>
  <cols>
    <col min="24" max="24" width="19.81640625" customWidth="1"/>
  </cols>
  <sheetData>
    <row r="1" spans="1:36" ht="13"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12" t="s">
        <v>245</v>
      </c>
      <c r="R1" s="2" t="s">
        <v>19</v>
      </c>
      <c r="S1" s="2" t="s">
        <v>20</v>
      </c>
      <c r="T1" s="2" t="s">
        <v>21</v>
      </c>
      <c r="U1" s="2" t="s">
        <v>22</v>
      </c>
      <c r="V1" s="2" t="s">
        <v>24</v>
      </c>
      <c r="W1" s="2" t="s">
        <v>26</v>
      </c>
      <c r="X1" s="12" t="s">
        <v>246</v>
      </c>
      <c r="Y1" s="12" t="s">
        <v>247</v>
      </c>
      <c r="AC1" s="58"/>
      <c r="AD1" s="92"/>
      <c r="AE1" s="92"/>
      <c r="AF1" s="39"/>
      <c r="AG1" s="39"/>
      <c r="AH1" s="39"/>
      <c r="AI1" s="39"/>
      <c r="AJ1" s="39"/>
    </row>
    <row r="2" spans="1:36" ht="13" x14ac:dyDescent="0.3">
      <c r="A2" s="1" t="s">
        <v>34</v>
      </c>
      <c r="B2" s="1">
        <v>2018</v>
      </c>
      <c r="C2" s="1" t="s">
        <v>36</v>
      </c>
      <c r="D2" s="1">
        <v>136.19999999999999</v>
      </c>
      <c r="E2" s="1">
        <v>143.6</v>
      </c>
      <c r="F2" s="1">
        <v>138.30000000000001</v>
      </c>
      <c r="G2" s="1">
        <v>141.19999999999999</v>
      </c>
      <c r="H2" s="1">
        <v>120.7</v>
      </c>
      <c r="I2" s="1">
        <v>146.19999999999999</v>
      </c>
      <c r="J2" s="1">
        <v>134.6</v>
      </c>
      <c r="K2" s="1">
        <v>124.6</v>
      </c>
      <c r="L2" s="1">
        <v>116.1</v>
      </c>
      <c r="M2" s="1">
        <v>137.80000000000001</v>
      </c>
      <c r="N2" s="1">
        <v>129.1</v>
      </c>
      <c r="O2" s="1">
        <v>150.4</v>
      </c>
      <c r="P2" s="1">
        <v>137.19999999999999</v>
      </c>
      <c r="Q2" s="13">
        <f>SUM($D2:$P2)</f>
        <v>1756</v>
      </c>
      <c r="R2" s="1">
        <v>143.1</v>
      </c>
      <c r="S2" s="1">
        <v>142</v>
      </c>
      <c r="T2" s="1">
        <v>136.5</v>
      </c>
      <c r="U2" s="1">
        <v>135.6</v>
      </c>
      <c r="V2" s="1">
        <v>121</v>
      </c>
      <c r="W2" s="1">
        <v>139.80000000000001</v>
      </c>
      <c r="X2" s="13">
        <f>SUM($R2:$W2)</f>
        <v>818</v>
      </c>
      <c r="Y2" s="1">
        <v>134.30000000000001</v>
      </c>
      <c r="AC2" s="28"/>
      <c r="AD2" s="28"/>
      <c r="AE2" s="28"/>
      <c r="AF2" s="28"/>
      <c r="AG2" s="58"/>
      <c r="AH2" s="28"/>
      <c r="AI2" s="58"/>
      <c r="AJ2" s="28"/>
    </row>
    <row r="3" spans="1:36" x14ac:dyDescent="0.25">
      <c r="A3" s="1" t="s">
        <v>34</v>
      </c>
      <c r="B3" s="1">
        <v>2018</v>
      </c>
      <c r="C3" s="1" t="s">
        <v>37</v>
      </c>
      <c r="D3" s="1">
        <v>136.4</v>
      </c>
      <c r="E3" s="1">
        <v>144.4</v>
      </c>
      <c r="F3" s="1">
        <v>133.9</v>
      </c>
      <c r="G3" s="1">
        <v>141.6</v>
      </c>
      <c r="H3" s="1">
        <v>121</v>
      </c>
      <c r="I3" s="1">
        <v>153.5</v>
      </c>
      <c r="J3" s="1">
        <v>132.6</v>
      </c>
      <c r="K3" s="1">
        <v>123.5</v>
      </c>
      <c r="L3" s="1">
        <v>113.7</v>
      </c>
      <c r="M3" s="1">
        <v>138.19999999999999</v>
      </c>
      <c r="N3" s="1">
        <v>129.6</v>
      </c>
      <c r="O3" s="1">
        <v>151.19999999999999</v>
      </c>
      <c r="P3" s="1">
        <v>137.5</v>
      </c>
      <c r="Q3" s="1">
        <v>1757.1000000000001</v>
      </c>
      <c r="R3" s="1">
        <v>144</v>
      </c>
      <c r="S3" s="1">
        <v>142.9</v>
      </c>
      <c r="T3" s="1">
        <v>136.5</v>
      </c>
      <c r="U3" s="1">
        <v>136.6</v>
      </c>
      <c r="V3" s="1">
        <v>121.9</v>
      </c>
      <c r="W3" s="1">
        <v>141.4</v>
      </c>
      <c r="X3" s="1">
        <v>823.3</v>
      </c>
      <c r="Y3" s="1">
        <v>135.19999999999999</v>
      </c>
      <c r="AC3" s="1"/>
      <c r="AD3" s="1"/>
      <c r="AI3" s="1"/>
    </row>
    <row r="4" spans="1:36" x14ac:dyDescent="0.25">
      <c r="A4" s="1" t="s">
        <v>34</v>
      </c>
      <c r="B4" s="1">
        <v>2018</v>
      </c>
      <c r="C4" s="1" t="s">
        <v>38</v>
      </c>
      <c r="D4" s="1">
        <v>136.6</v>
      </c>
      <c r="E4" s="1">
        <v>146.6</v>
      </c>
      <c r="F4" s="1">
        <v>133.6</v>
      </c>
      <c r="G4" s="1">
        <v>142.1</v>
      </c>
      <c r="H4" s="1">
        <v>121</v>
      </c>
      <c r="I4" s="1">
        <v>154.6</v>
      </c>
      <c r="J4" s="1">
        <v>135.6</v>
      </c>
      <c r="K4" s="1">
        <v>122.3</v>
      </c>
      <c r="L4" s="1">
        <v>109.6</v>
      </c>
      <c r="M4" s="1">
        <v>138.1</v>
      </c>
      <c r="N4" s="1">
        <v>129.9</v>
      </c>
      <c r="O4" s="1">
        <v>151.69999999999999</v>
      </c>
      <c r="P4" s="1">
        <v>138.1</v>
      </c>
      <c r="Q4" s="1">
        <v>1759.8</v>
      </c>
      <c r="R4" s="1">
        <v>144.69999999999999</v>
      </c>
      <c r="S4" s="1">
        <v>143.19999999999999</v>
      </c>
      <c r="T4" s="1">
        <v>136.9</v>
      </c>
      <c r="U4" s="1">
        <v>137.4</v>
      </c>
      <c r="V4" s="1">
        <v>122.9</v>
      </c>
      <c r="W4" s="1">
        <v>142.1</v>
      </c>
      <c r="X4" s="1">
        <v>827.19999999999993</v>
      </c>
      <c r="Y4" s="1">
        <v>136</v>
      </c>
      <c r="AC4" s="1"/>
      <c r="AD4" s="1"/>
      <c r="AF4" s="45"/>
      <c r="AH4" s="45"/>
      <c r="AJ4" s="45"/>
    </row>
    <row r="5" spans="1:36" x14ac:dyDescent="0.25">
      <c r="A5" s="1" t="s">
        <v>34</v>
      </c>
      <c r="B5" s="1">
        <v>2018</v>
      </c>
      <c r="C5" s="1" t="s">
        <v>39</v>
      </c>
      <c r="D5" s="1">
        <v>136.9</v>
      </c>
      <c r="E5" s="1">
        <v>148.69999999999999</v>
      </c>
      <c r="F5" s="1">
        <v>135.6</v>
      </c>
      <c r="G5" s="1">
        <v>142.30000000000001</v>
      </c>
      <c r="H5" s="1">
        <v>121.3</v>
      </c>
      <c r="I5" s="1">
        <v>153.19999999999999</v>
      </c>
      <c r="J5" s="1">
        <v>143.69999999999999</v>
      </c>
      <c r="K5" s="1">
        <v>121.4</v>
      </c>
      <c r="L5" s="1">
        <v>111.1</v>
      </c>
      <c r="M5" s="1">
        <v>138.4</v>
      </c>
      <c r="N5" s="1">
        <v>130.30000000000001</v>
      </c>
      <c r="O5" s="1">
        <v>151.80000000000001</v>
      </c>
      <c r="P5" s="1">
        <v>139.4</v>
      </c>
      <c r="Q5" s="1">
        <v>1774.1000000000001</v>
      </c>
      <c r="R5" s="1">
        <v>145.19999999999999</v>
      </c>
      <c r="S5" s="1">
        <v>142.5</v>
      </c>
      <c r="T5" s="1">
        <v>138.1</v>
      </c>
      <c r="U5" s="1">
        <v>137.9</v>
      </c>
      <c r="V5" s="1">
        <v>123.7</v>
      </c>
      <c r="W5" s="1">
        <v>142.80000000000001</v>
      </c>
      <c r="X5" s="1">
        <v>830.2</v>
      </c>
      <c r="Y5" s="1">
        <v>136.19999999999999</v>
      </c>
      <c r="AC5" s="1"/>
      <c r="AD5" s="1"/>
      <c r="AF5" s="45"/>
      <c r="AH5" s="45"/>
      <c r="AJ5" s="45"/>
    </row>
    <row r="6" spans="1:36" x14ac:dyDescent="0.25">
      <c r="A6" s="1" t="s">
        <v>34</v>
      </c>
      <c r="B6" s="1">
        <v>2018</v>
      </c>
      <c r="C6" s="1" t="s">
        <v>40</v>
      </c>
      <c r="D6" s="1">
        <v>137.5</v>
      </c>
      <c r="E6" s="1">
        <v>149.1</v>
      </c>
      <c r="F6" s="1">
        <v>139.19999999999999</v>
      </c>
      <c r="G6" s="1">
        <v>142.5</v>
      </c>
      <c r="H6" s="1">
        <v>121.4</v>
      </c>
      <c r="I6" s="1">
        <v>151.6</v>
      </c>
      <c r="J6" s="1">
        <v>155.9</v>
      </c>
      <c r="K6" s="1">
        <v>121.7</v>
      </c>
      <c r="L6" s="1">
        <v>113.5</v>
      </c>
      <c r="M6" s="1">
        <v>138.9</v>
      </c>
      <c r="N6" s="1">
        <v>130.30000000000001</v>
      </c>
      <c r="O6" s="1">
        <v>152.30000000000001</v>
      </c>
      <c r="P6" s="1">
        <v>141.4</v>
      </c>
      <c r="Q6" s="1">
        <v>1795.3</v>
      </c>
      <c r="R6" s="1">
        <v>145.6</v>
      </c>
      <c r="S6" s="1">
        <v>143.6</v>
      </c>
      <c r="T6" s="1">
        <v>139.69999999999999</v>
      </c>
      <c r="U6" s="1">
        <v>138.6</v>
      </c>
      <c r="V6" s="1">
        <v>123.6</v>
      </c>
      <c r="W6" s="1">
        <v>144.69999999999999</v>
      </c>
      <c r="X6" s="1">
        <v>835.8</v>
      </c>
      <c r="Y6" s="1">
        <v>137</v>
      </c>
      <c r="AC6" s="1"/>
      <c r="AD6" s="1"/>
      <c r="AF6" s="45"/>
      <c r="AH6" s="45"/>
      <c r="AJ6" s="45"/>
    </row>
    <row r="7" spans="1:36" x14ac:dyDescent="0.25">
      <c r="A7" s="1" t="s">
        <v>34</v>
      </c>
      <c r="B7" s="1">
        <v>2018</v>
      </c>
      <c r="C7" s="1" t="s">
        <v>41</v>
      </c>
      <c r="D7" s="1">
        <v>138.30000000000001</v>
      </c>
      <c r="E7" s="1">
        <v>148</v>
      </c>
      <c r="F7" s="1">
        <v>138.1</v>
      </c>
      <c r="G7" s="1">
        <v>142.6</v>
      </c>
      <c r="H7" s="1">
        <v>122.2</v>
      </c>
      <c r="I7" s="1">
        <v>150.6</v>
      </c>
      <c r="J7" s="1">
        <v>156.6</v>
      </c>
      <c r="K7" s="1">
        <v>122.4</v>
      </c>
      <c r="L7" s="1">
        <v>114.7</v>
      </c>
      <c r="M7" s="1">
        <v>139.4</v>
      </c>
      <c r="N7" s="1">
        <v>131.1</v>
      </c>
      <c r="O7" s="1">
        <v>153</v>
      </c>
      <c r="P7" s="1">
        <v>141.69999999999999</v>
      </c>
      <c r="Q7" s="1">
        <v>1798.7000000000003</v>
      </c>
      <c r="R7" s="1">
        <v>146.1</v>
      </c>
      <c r="S7" s="1">
        <v>144.6</v>
      </c>
      <c r="T7" s="1">
        <v>140.9</v>
      </c>
      <c r="U7" s="1">
        <v>139.4</v>
      </c>
      <c r="V7" s="1">
        <v>124.3</v>
      </c>
      <c r="W7" s="1">
        <v>146</v>
      </c>
      <c r="X7" s="1">
        <v>841.3</v>
      </c>
      <c r="Y7" s="1">
        <v>137.69999999999999</v>
      </c>
      <c r="AC7" s="1"/>
      <c r="AD7" s="1"/>
      <c r="AF7" s="45"/>
      <c r="AH7" s="45"/>
      <c r="AJ7" s="45"/>
    </row>
    <row r="8" spans="1:36" x14ac:dyDescent="0.25">
      <c r="A8" s="1" t="s">
        <v>34</v>
      </c>
      <c r="B8" s="1">
        <v>2018</v>
      </c>
      <c r="C8" s="1" t="s">
        <v>42</v>
      </c>
      <c r="D8" s="1">
        <v>138.6</v>
      </c>
      <c r="E8" s="1">
        <v>145.80000000000001</v>
      </c>
      <c r="F8" s="1">
        <v>135.1</v>
      </c>
      <c r="G8" s="1">
        <v>142.9</v>
      </c>
      <c r="H8" s="1">
        <v>122.1</v>
      </c>
      <c r="I8" s="1">
        <v>145.4</v>
      </c>
      <c r="J8" s="1">
        <v>150</v>
      </c>
      <c r="K8" s="1">
        <v>121.4</v>
      </c>
      <c r="L8" s="1">
        <v>113.7</v>
      </c>
      <c r="M8" s="1">
        <v>139.5</v>
      </c>
      <c r="N8" s="1">
        <v>130.80000000000001</v>
      </c>
      <c r="O8" s="1">
        <v>153.80000000000001</v>
      </c>
      <c r="P8" s="1">
        <v>140.4</v>
      </c>
      <c r="Q8" s="1">
        <v>1779.5</v>
      </c>
      <c r="R8" s="1">
        <v>146.5</v>
      </c>
      <c r="S8" s="1">
        <v>145.30000000000001</v>
      </c>
      <c r="T8" s="1">
        <v>142.30000000000001</v>
      </c>
      <c r="U8" s="1">
        <v>139.69999999999999</v>
      </c>
      <c r="V8" s="1">
        <v>126</v>
      </c>
      <c r="W8" s="1">
        <v>146.19999999999999</v>
      </c>
      <c r="X8" s="1">
        <v>846</v>
      </c>
      <c r="Y8" s="1">
        <v>138.4</v>
      </c>
      <c r="AC8" s="1"/>
      <c r="AD8" s="1"/>
      <c r="AF8" s="45"/>
      <c r="AH8" s="45"/>
      <c r="AJ8" s="45"/>
    </row>
    <row r="9" spans="1:36" x14ac:dyDescent="0.25">
      <c r="A9" s="1" t="s">
        <v>34</v>
      </c>
      <c r="B9" s="1">
        <v>2018</v>
      </c>
      <c r="C9" s="1" t="s">
        <v>43</v>
      </c>
      <c r="D9" s="1">
        <v>137.4</v>
      </c>
      <c r="E9" s="1">
        <v>149.5</v>
      </c>
      <c r="F9" s="1">
        <v>137.30000000000001</v>
      </c>
      <c r="G9" s="1">
        <v>141.9</v>
      </c>
      <c r="H9" s="1">
        <v>121.1</v>
      </c>
      <c r="I9" s="1">
        <v>142.5</v>
      </c>
      <c r="J9" s="1">
        <v>146.69999999999999</v>
      </c>
      <c r="K9" s="1">
        <v>119.1</v>
      </c>
      <c r="L9" s="1">
        <v>111.9</v>
      </c>
      <c r="M9" s="1">
        <v>141</v>
      </c>
      <c r="N9" s="1">
        <v>133.6</v>
      </c>
      <c r="O9" s="1">
        <v>154.5</v>
      </c>
      <c r="P9" s="1">
        <v>139.69999999999999</v>
      </c>
      <c r="Q9" s="1">
        <v>1776.2</v>
      </c>
      <c r="R9" s="1">
        <v>146.80000000000001</v>
      </c>
      <c r="S9" s="1">
        <v>146.9</v>
      </c>
      <c r="T9" s="1">
        <v>145.30000000000001</v>
      </c>
      <c r="U9" s="1">
        <v>142.19999999999999</v>
      </c>
      <c r="V9" s="1">
        <v>125.5</v>
      </c>
      <c r="W9" s="1">
        <v>147.80000000000001</v>
      </c>
      <c r="X9" s="1">
        <v>854.5</v>
      </c>
      <c r="Y9" s="1">
        <v>142.1</v>
      </c>
      <c r="AC9" s="1"/>
      <c r="AD9" s="1"/>
      <c r="AF9" s="45"/>
      <c r="AH9" s="45"/>
      <c r="AJ9" s="45"/>
    </row>
    <row r="10" spans="1:36" x14ac:dyDescent="0.25">
      <c r="A10" s="1" t="s">
        <v>34</v>
      </c>
      <c r="B10" s="1">
        <v>2018</v>
      </c>
      <c r="C10" s="1" t="s">
        <v>44</v>
      </c>
      <c r="D10" s="1">
        <v>137.4</v>
      </c>
      <c r="E10" s="1">
        <v>149.19999999999999</v>
      </c>
      <c r="F10" s="1">
        <v>137.1</v>
      </c>
      <c r="G10" s="1">
        <v>141.80000000000001</v>
      </c>
      <c r="H10" s="1">
        <v>121.1</v>
      </c>
      <c r="I10" s="1">
        <v>142.80000000000001</v>
      </c>
      <c r="J10" s="1">
        <v>146.69999999999999</v>
      </c>
      <c r="K10" s="1">
        <v>119.1</v>
      </c>
      <c r="L10" s="1">
        <v>111.9</v>
      </c>
      <c r="M10" s="1">
        <v>140.9</v>
      </c>
      <c r="N10" s="1">
        <v>133.5</v>
      </c>
      <c r="O10" s="1">
        <v>154.5</v>
      </c>
      <c r="P10" s="1">
        <v>139.69999999999999</v>
      </c>
      <c r="Q10" s="1">
        <v>1775.7000000000003</v>
      </c>
      <c r="R10" s="1">
        <v>146.69999999999999</v>
      </c>
      <c r="S10" s="1">
        <v>146.9</v>
      </c>
      <c r="T10" s="1">
        <v>145.1</v>
      </c>
      <c r="U10" s="1">
        <v>142.19999999999999</v>
      </c>
      <c r="V10" s="1">
        <v>125.5</v>
      </c>
      <c r="W10" s="1">
        <v>147.80000000000001</v>
      </c>
      <c r="X10" s="1">
        <v>854.2</v>
      </c>
      <c r="Y10" s="1">
        <v>142.1</v>
      </c>
      <c r="AC10" s="1"/>
      <c r="AD10" s="1"/>
      <c r="AF10" s="45"/>
      <c r="AH10" s="45"/>
      <c r="AJ10" s="45"/>
    </row>
    <row r="11" spans="1:36" x14ac:dyDescent="0.25">
      <c r="A11" s="1" t="s">
        <v>34</v>
      </c>
      <c r="B11" s="1">
        <v>2018</v>
      </c>
      <c r="C11" s="1" t="s">
        <v>45</v>
      </c>
      <c r="D11" s="1">
        <v>137.5</v>
      </c>
      <c r="E11" s="1">
        <v>150.5</v>
      </c>
      <c r="F11" s="1">
        <v>138.80000000000001</v>
      </c>
      <c r="G11" s="1">
        <v>142.1</v>
      </c>
      <c r="H11" s="1">
        <v>122</v>
      </c>
      <c r="I11" s="1">
        <v>139.4</v>
      </c>
      <c r="J11" s="1">
        <v>135.19999999999999</v>
      </c>
      <c r="K11" s="1">
        <v>119.8</v>
      </c>
      <c r="L11" s="1">
        <v>110.3</v>
      </c>
      <c r="M11" s="1">
        <v>140.6</v>
      </c>
      <c r="N11" s="1">
        <v>133.80000000000001</v>
      </c>
      <c r="O11" s="1">
        <v>154.6</v>
      </c>
      <c r="P11" s="1">
        <v>138.19999999999999</v>
      </c>
      <c r="Q11" s="1">
        <v>1762.7999999999997</v>
      </c>
      <c r="R11" s="1">
        <v>146.80000000000001</v>
      </c>
      <c r="S11" s="1">
        <v>146.5</v>
      </c>
      <c r="T11" s="1">
        <v>142.69999999999999</v>
      </c>
      <c r="U11" s="1">
        <v>143.19999999999999</v>
      </c>
      <c r="V11" s="1">
        <v>123.6</v>
      </c>
      <c r="W11" s="1">
        <v>150.1</v>
      </c>
      <c r="X11" s="1">
        <v>852.90000000000009</v>
      </c>
      <c r="Y11" s="1">
        <v>144.9</v>
      </c>
      <c r="AC11" s="1"/>
      <c r="AD11" s="1"/>
      <c r="AF11" s="45"/>
      <c r="AH11" s="45"/>
      <c r="AJ11" s="45"/>
    </row>
    <row r="12" spans="1:36" x14ac:dyDescent="0.25">
      <c r="A12" s="1" t="s">
        <v>34</v>
      </c>
      <c r="B12" s="1">
        <v>2019</v>
      </c>
      <c r="C12" s="1" t="s">
        <v>31</v>
      </c>
      <c r="D12" s="1">
        <v>137.1</v>
      </c>
      <c r="E12" s="1">
        <v>151.4</v>
      </c>
      <c r="F12" s="1">
        <v>140.19999999999999</v>
      </c>
      <c r="G12" s="1">
        <v>142.1</v>
      </c>
      <c r="H12" s="1">
        <v>121.8</v>
      </c>
      <c r="I12" s="1">
        <v>135.4</v>
      </c>
      <c r="J12" s="1">
        <v>131.30000000000001</v>
      </c>
      <c r="K12" s="1">
        <v>120.3</v>
      </c>
      <c r="L12" s="1">
        <v>109.1</v>
      </c>
      <c r="M12" s="1">
        <v>139.4</v>
      </c>
      <c r="N12" s="1">
        <v>133.30000000000001</v>
      </c>
      <c r="O12" s="1">
        <v>154.6</v>
      </c>
      <c r="P12" s="1">
        <v>137.4</v>
      </c>
      <c r="Q12" s="1">
        <v>1753.3999999999999</v>
      </c>
      <c r="R12" s="1">
        <v>146.4</v>
      </c>
      <c r="S12" s="1">
        <v>147.69999999999999</v>
      </c>
      <c r="T12" s="1">
        <v>139.5</v>
      </c>
      <c r="U12" s="1">
        <v>143.6</v>
      </c>
      <c r="V12" s="1">
        <v>123.3</v>
      </c>
      <c r="W12" s="1">
        <v>150.19999999999999</v>
      </c>
      <c r="X12" s="1">
        <v>850.7</v>
      </c>
      <c r="Y12" s="1">
        <v>145.1</v>
      </c>
      <c r="AC12" s="1"/>
      <c r="AD12" s="1"/>
      <c r="AF12" s="45"/>
      <c r="AH12" s="45"/>
      <c r="AJ12" s="45"/>
    </row>
    <row r="13" spans="1:36" x14ac:dyDescent="0.25">
      <c r="A13" s="1" t="s">
        <v>34</v>
      </c>
      <c r="B13" s="1">
        <v>2019</v>
      </c>
      <c r="C13" s="1" t="s">
        <v>35</v>
      </c>
      <c r="D13" s="1">
        <v>137.6</v>
      </c>
      <c r="E13" s="1">
        <v>152</v>
      </c>
      <c r="F13" s="1">
        <v>141.5</v>
      </c>
      <c r="G13" s="1">
        <v>142.19999999999999</v>
      </c>
      <c r="H13" s="1">
        <v>122</v>
      </c>
      <c r="I13" s="1">
        <v>136.4</v>
      </c>
      <c r="J13" s="1">
        <v>129.69999999999999</v>
      </c>
      <c r="K13" s="1">
        <v>121</v>
      </c>
      <c r="L13" s="1">
        <v>109</v>
      </c>
      <c r="M13" s="1">
        <v>139.69999999999999</v>
      </c>
      <c r="N13" s="1">
        <v>133.6</v>
      </c>
      <c r="O13" s="1">
        <v>154.9</v>
      </c>
      <c r="P13" s="1">
        <v>137.5</v>
      </c>
      <c r="Q13" s="1">
        <v>1757.1</v>
      </c>
      <c r="R13" s="1">
        <v>146.5</v>
      </c>
      <c r="S13" s="1">
        <v>148.5</v>
      </c>
      <c r="T13" s="1">
        <v>138.4</v>
      </c>
      <c r="U13" s="1">
        <v>143.69999999999999</v>
      </c>
      <c r="V13" s="1">
        <v>123.9</v>
      </c>
      <c r="W13" s="1">
        <v>150.30000000000001</v>
      </c>
      <c r="X13" s="1">
        <v>851.3</v>
      </c>
      <c r="Y13" s="1">
        <v>145.6</v>
      </c>
      <c r="AC13" s="1"/>
      <c r="AD13" s="1"/>
      <c r="AF13" s="45"/>
      <c r="AH13" s="45"/>
      <c r="AJ13" s="45"/>
    </row>
    <row r="14" spans="1:36" x14ac:dyDescent="0.25">
      <c r="A14" s="1" t="s">
        <v>34</v>
      </c>
      <c r="B14" s="1">
        <v>2019</v>
      </c>
      <c r="C14" s="1" t="s">
        <v>36</v>
      </c>
      <c r="D14" s="1">
        <v>137.80000000000001</v>
      </c>
      <c r="E14" s="1">
        <v>153</v>
      </c>
      <c r="F14" s="1">
        <v>140.30000000000001</v>
      </c>
      <c r="G14" s="1">
        <v>142.30000000000001</v>
      </c>
      <c r="H14" s="1">
        <v>122</v>
      </c>
      <c r="I14" s="1">
        <v>137.6</v>
      </c>
      <c r="J14" s="1">
        <v>132.6</v>
      </c>
      <c r="K14" s="1">
        <v>121.8</v>
      </c>
      <c r="L14" s="1">
        <v>109</v>
      </c>
      <c r="M14" s="1">
        <v>139.5</v>
      </c>
      <c r="N14" s="1">
        <v>133.69999999999999</v>
      </c>
      <c r="O14" s="1">
        <v>155.19999999999999</v>
      </c>
      <c r="P14" s="1">
        <v>138.1</v>
      </c>
      <c r="Q14" s="1">
        <v>1762.9</v>
      </c>
      <c r="R14" s="1">
        <v>146.69999999999999</v>
      </c>
      <c r="S14" s="1">
        <v>149</v>
      </c>
      <c r="T14" s="1">
        <v>139.69999999999999</v>
      </c>
      <c r="U14" s="1">
        <v>143.80000000000001</v>
      </c>
      <c r="V14" s="1">
        <v>124.6</v>
      </c>
      <c r="W14" s="1">
        <v>150.30000000000001</v>
      </c>
      <c r="X14" s="1">
        <v>854.10000000000014</v>
      </c>
      <c r="Y14" s="1">
        <v>146.19999999999999</v>
      </c>
      <c r="AC14" s="1"/>
      <c r="AD14" s="1"/>
      <c r="AF14" s="45"/>
      <c r="AH14" s="45"/>
      <c r="AJ14" s="45"/>
    </row>
    <row r="15" spans="1:36" x14ac:dyDescent="0.25">
      <c r="A15" s="1" t="s">
        <v>34</v>
      </c>
      <c r="B15" s="1">
        <v>2019</v>
      </c>
      <c r="C15" s="1" t="s">
        <v>38</v>
      </c>
      <c r="D15" s="1">
        <v>138.30000000000001</v>
      </c>
      <c r="E15" s="1">
        <v>158.5</v>
      </c>
      <c r="F15" s="1">
        <v>136</v>
      </c>
      <c r="G15" s="1">
        <v>142.5</v>
      </c>
      <c r="H15" s="1">
        <v>122</v>
      </c>
      <c r="I15" s="1">
        <v>146.5</v>
      </c>
      <c r="J15" s="1">
        <v>143</v>
      </c>
      <c r="K15" s="1">
        <v>124.9</v>
      </c>
      <c r="L15" s="1">
        <v>109.9</v>
      </c>
      <c r="M15" s="1">
        <v>139.9</v>
      </c>
      <c r="N15" s="1">
        <v>134</v>
      </c>
      <c r="O15" s="1">
        <v>155.5</v>
      </c>
      <c r="P15" s="1">
        <v>140.9</v>
      </c>
      <c r="Q15" s="1">
        <v>1791.9000000000003</v>
      </c>
      <c r="R15" s="1">
        <v>147.30000000000001</v>
      </c>
      <c r="S15" s="1">
        <v>150.1</v>
      </c>
      <c r="T15" s="1">
        <v>140.30000000000001</v>
      </c>
      <c r="U15" s="1">
        <v>143.69999999999999</v>
      </c>
      <c r="V15" s="1">
        <v>124.9</v>
      </c>
      <c r="W15" s="1">
        <v>151.6</v>
      </c>
      <c r="X15" s="1">
        <v>857.9</v>
      </c>
      <c r="Y15" s="1">
        <v>146.9</v>
      </c>
      <c r="AC15" s="1"/>
      <c r="AD15" s="1"/>
      <c r="AF15" s="45"/>
      <c r="AH15" s="45"/>
      <c r="AJ15" s="45"/>
    </row>
    <row r="16" spans="1:36" x14ac:dyDescent="0.25">
      <c r="A16" s="1" t="s">
        <v>34</v>
      </c>
      <c r="B16" s="1">
        <v>2019</v>
      </c>
      <c r="C16" s="1" t="s">
        <v>39</v>
      </c>
      <c r="D16" s="1">
        <v>138.69999999999999</v>
      </c>
      <c r="E16" s="1">
        <v>162.1</v>
      </c>
      <c r="F16" s="1">
        <v>137.80000000000001</v>
      </c>
      <c r="G16" s="1">
        <v>143.30000000000001</v>
      </c>
      <c r="H16" s="1">
        <v>122.2</v>
      </c>
      <c r="I16" s="1">
        <v>146.80000000000001</v>
      </c>
      <c r="J16" s="1">
        <v>150.5</v>
      </c>
      <c r="K16" s="1">
        <v>128.30000000000001</v>
      </c>
      <c r="L16" s="1">
        <v>111</v>
      </c>
      <c r="M16" s="1">
        <v>140.6</v>
      </c>
      <c r="N16" s="1">
        <v>134.19999999999999</v>
      </c>
      <c r="O16" s="1">
        <v>155.9</v>
      </c>
      <c r="P16" s="1">
        <v>142.69999999999999</v>
      </c>
      <c r="Q16" s="1">
        <v>1814.1000000000001</v>
      </c>
      <c r="R16" s="1">
        <v>147.4</v>
      </c>
      <c r="S16" s="1">
        <v>149.4</v>
      </c>
      <c r="T16" s="1">
        <v>141.19999999999999</v>
      </c>
      <c r="U16" s="1">
        <v>143.80000000000001</v>
      </c>
      <c r="V16" s="1">
        <v>124.6</v>
      </c>
      <c r="W16" s="1">
        <v>152.5</v>
      </c>
      <c r="X16" s="1">
        <v>858.9</v>
      </c>
      <c r="Y16" s="1">
        <v>147.4</v>
      </c>
      <c r="AC16" s="1"/>
      <c r="AD16" s="1"/>
      <c r="AF16" s="45"/>
      <c r="AH16" s="45"/>
      <c r="AJ16" s="45"/>
    </row>
    <row r="17" spans="1:36" x14ac:dyDescent="0.25">
      <c r="A17" s="1" t="s">
        <v>34</v>
      </c>
      <c r="B17" s="1">
        <v>2019</v>
      </c>
      <c r="C17" s="1" t="s">
        <v>40</v>
      </c>
      <c r="D17" s="1">
        <v>139.30000000000001</v>
      </c>
      <c r="E17" s="1">
        <v>162.69999999999999</v>
      </c>
      <c r="F17" s="1">
        <v>140</v>
      </c>
      <c r="G17" s="1">
        <v>144</v>
      </c>
      <c r="H17" s="1">
        <v>122.5</v>
      </c>
      <c r="I17" s="1">
        <v>150.30000000000001</v>
      </c>
      <c r="J17" s="1">
        <v>160.30000000000001</v>
      </c>
      <c r="K17" s="1">
        <v>130</v>
      </c>
      <c r="L17" s="1">
        <v>111.1</v>
      </c>
      <c r="M17" s="1">
        <v>141.69999999999999</v>
      </c>
      <c r="N17" s="1">
        <v>134.69999999999999</v>
      </c>
      <c r="O17" s="1">
        <v>156.19999999999999</v>
      </c>
      <c r="P17" s="1">
        <v>144.69999999999999</v>
      </c>
      <c r="Q17" s="1">
        <v>1837.5</v>
      </c>
      <c r="R17" s="1">
        <v>147.6</v>
      </c>
      <c r="S17" s="1">
        <v>150.6</v>
      </c>
      <c r="T17" s="1">
        <v>139.30000000000001</v>
      </c>
      <c r="U17" s="1">
        <v>144.19999999999999</v>
      </c>
      <c r="V17" s="1">
        <v>125.6</v>
      </c>
      <c r="W17" s="1">
        <v>154</v>
      </c>
      <c r="X17" s="1">
        <v>861.30000000000007</v>
      </c>
      <c r="Y17" s="1">
        <v>147.9</v>
      </c>
      <c r="AC17" s="1"/>
      <c r="AD17" s="1"/>
      <c r="AF17" s="45"/>
      <c r="AH17" s="45"/>
      <c r="AJ17" s="45"/>
    </row>
    <row r="18" spans="1:36" x14ac:dyDescent="0.25">
      <c r="A18" s="1" t="s">
        <v>34</v>
      </c>
      <c r="B18" s="1">
        <v>2019</v>
      </c>
      <c r="C18" s="1" t="s">
        <v>41</v>
      </c>
      <c r="D18" s="1">
        <v>140.1</v>
      </c>
      <c r="E18" s="1">
        <v>160.6</v>
      </c>
      <c r="F18" s="1">
        <v>138.5</v>
      </c>
      <c r="G18" s="1">
        <v>144.69999999999999</v>
      </c>
      <c r="H18" s="1">
        <v>122.9</v>
      </c>
      <c r="I18" s="1">
        <v>149.4</v>
      </c>
      <c r="J18" s="1">
        <v>167.4</v>
      </c>
      <c r="K18" s="1">
        <v>130.9</v>
      </c>
      <c r="L18" s="1">
        <v>112</v>
      </c>
      <c r="M18" s="1">
        <v>142.6</v>
      </c>
      <c r="N18" s="1">
        <v>134.9</v>
      </c>
      <c r="O18" s="1">
        <v>156.6</v>
      </c>
      <c r="P18" s="1">
        <v>145.9</v>
      </c>
      <c r="Q18" s="1">
        <v>1846.5</v>
      </c>
      <c r="R18" s="1">
        <v>147.9</v>
      </c>
      <c r="S18" s="1">
        <v>151.6</v>
      </c>
      <c r="T18" s="1">
        <v>138.5</v>
      </c>
      <c r="U18" s="1">
        <v>144.5</v>
      </c>
      <c r="V18" s="1">
        <v>125.8</v>
      </c>
      <c r="W18" s="1">
        <v>154.9</v>
      </c>
      <c r="X18" s="1">
        <v>863.19999999999993</v>
      </c>
      <c r="Y18" s="1">
        <v>148.5</v>
      </c>
      <c r="AC18" s="1"/>
      <c r="AD18" s="1"/>
      <c r="AF18" s="45"/>
      <c r="AH18" s="45"/>
      <c r="AJ18" s="45"/>
    </row>
    <row r="19" spans="1:36" x14ac:dyDescent="0.25">
      <c r="A19" s="1" t="s">
        <v>34</v>
      </c>
      <c r="B19" s="1">
        <v>2019</v>
      </c>
      <c r="C19" s="1" t="s">
        <v>42</v>
      </c>
      <c r="D19" s="1">
        <v>140.9</v>
      </c>
      <c r="E19" s="1">
        <v>160.80000000000001</v>
      </c>
      <c r="F19" s="1">
        <v>139.6</v>
      </c>
      <c r="G19" s="1">
        <v>145.4</v>
      </c>
      <c r="H19" s="1">
        <v>123.5</v>
      </c>
      <c r="I19" s="1">
        <v>146.6</v>
      </c>
      <c r="J19" s="1">
        <v>173.2</v>
      </c>
      <c r="K19" s="1">
        <v>131.6</v>
      </c>
      <c r="L19" s="1">
        <v>113.2</v>
      </c>
      <c r="M19" s="1">
        <v>144.1</v>
      </c>
      <c r="N19" s="1">
        <v>135</v>
      </c>
      <c r="O19" s="1">
        <v>156.80000000000001</v>
      </c>
      <c r="P19" s="1">
        <v>147</v>
      </c>
      <c r="Q19" s="1">
        <v>1857.6999999999998</v>
      </c>
      <c r="R19" s="1">
        <v>147.9</v>
      </c>
      <c r="S19" s="1">
        <v>152.19999999999999</v>
      </c>
      <c r="T19" s="1">
        <v>139.19999999999999</v>
      </c>
      <c r="U19" s="1">
        <v>144.6</v>
      </c>
      <c r="V19" s="1">
        <v>126.1</v>
      </c>
      <c r="W19" s="1">
        <v>155.19999999999999</v>
      </c>
      <c r="X19" s="1">
        <v>865.2</v>
      </c>
      <c r="Y19" s="1">
        <v>149</v>
      </c>
      <c r="AC19" s="1"/>
      <c r="AD19" s="1"/>
      <c r="AF19" s="45"/>
      <c r="AH19" s="45"/>
      <c r="AJ19" s="45"/>
    </row>
    <row r="20" spans="1:36" x14ac:dyDescent="0.25">
      <c r="A20" s="1" t="s">
        <v>34</v>
      </c>
      <c r="B20" s="1">
        <v>2019</v>
      </c>
      <c r="C20" s="1" t="s">
        <v>43</v>
      </c>
      <c r="D20" s="1">
        <v>141.80000000000001</v>
      </c>
      <c r="E20" s="1">
        <v>161</v>
      </c>
      <c r="F20" s="1">
        <v>142.6</v>
      </c>
      <c r="G20" s="1">
        <v>146.19999999999999</v>
      </c>
      <c r="H20" s="1">
        <v>123.9</v>
      </c>
      <c r="I20" s="1">
        <v>148</v>
      </c>
      <c r="J20" s="1">
        <v>188.4</v>
      </c>
      <c r="K20" s="1">
        <v>132.5</v>
      </c>
      <c r="L20" s="1">
        <v>114</v>
      </c>
      <c r="M20" s="1">
        <v>145.4</v>
      </c>
      <c r="N20" s="1">
        <v>135.1</v>
      </c>
      <c r="O20" s="1">
        <v>157.1</v>
      </c>
      <c r="P20" s="1">
        <v>149.6</v>
      </c>
      <c r="Q20" s="1">
        <v>1885.5999999999997</v>
      </c>
      <c r="R20" s="1">
        <v>148.19999999999999</v>
      </c>
      <c r="S20" s="1">
        <v>153</v>
      </c>
      <c r="T20" s="1">
        <v>140.6</v>
      </c>
      <c r="U20" s="1">
        <v>145</v>
      </c>
      <c r="V20" s="1">
        <v>126.3</v>
      </c>
      <c r="W20" s="1">
        <v>155.4</v>
      </c>
      <c r="X20" s="1">
        <v>868.49999999999989</v>
      </c>
      <c r="Y20" s="1">
        <v>149.4</v>
      </c>
      <c r="AC20" s="1"/>
      <c r="AD20" s="1"/>
      <c r="AF20" s="45"/>
      <c r="AH20" s="45"/>
      <c r="AJ20" s="45"/>
    </row>
    <row r="21" spans="1:36" x14ac:dyDescent="0.25">
      <c r="A21" s="1" t="s">
        <v>34</v>
      </c>
      <c r="B21" s="1">
        <v>2019</v>
      </c>
      <c r="C21" s="1" t="s">
        <v>44</v>
      </c>
      <c r="D21" s="1">
        <v>142.5</v>
      </c>
      <c r="E21" s="1">
        <v>163.19999999999999</v>
      </c>
      <c r="F21" s="1">
        <v>145.6</v>
      </c>
      <c r="G21" s="1">
        <v>146.69999999999999</v>
      </c>
      <c r="H21" s="1">
        <v>124.3</v>
      </c>
      <c r="I21" s="1">
        <v>147.4</v>
      </c>
      <c r="J21" s="1">
        <v>199.6</v>
      </c>
      <c r="K21" s="1">
        <v>135.69999999999999</v>
      </c>
      <c r="L21" s="1">
        <v>114.2</v>
      </c>
      <c r="M21" s="1">
        <v>147</v>
      </c>
      <c r="N21" s="1">
        <v>135.30000000000001</v>
      </c>
      <c r="O21" s="1">
        <v>157.5</v>
      </c>
      <c r="P21" s="1">
        <v>151.9</v>
      </c>
      <c r="Q21" s="1">
        <v>1910.9</v>
      </c>
      <c r="R21" s="1">
        <v>148.6</v>
      </c>
      <c r="S21" s="1">
        <v>153.5</v>
      </c>
      <c r="T21" s="1">
        <v>142.30000000000001</v>
      </c>
      <c r="U21" s="1">
        <v>145.30000000000001</v>
      </c>
      <c r="V21" s="1">
        <v>126.6</v>
      </c>
      <c r="W21" s="1">
        <v>155.5</v>
      </c>
      <c r="X21" s="1">
        <v>871.80000000000007</v>
      </c>
      <c r="Y21" s="1">
        <v>149.9</v>
      </c>
      <c r="AC21" s="1"/>
      <c r="AD21" s="1"/>
      <c r="AF21" s="45"/>
      <c r="AH21" s="45"/>
      <c r="AJ21" s="45"/>
    </row>
    <row r="22" spans="1:36" x14ac:dyDescent="0.25">
      <c r="A22" s="1" t="s">
        <v>34</v>
      </c>
      <c r="B22" s="1">
        <v>2019</v>
      </c>
      <c r="C22" s="1" t="s">
        <v>45</v>
      </c>
      <c r="D22" s="1">
        <v>143.5</v>
      </c>
      <c r="E22" s="1">
        <v>165</v>
      </c>
      <c r="F22" s="1">
        <v>151.1</v>
      </c>
      <c r="G22" s="1">
        <v>148.30000000000001</v>
      </c>
      <c r="H22" s="1">
        <v>125.7</v>
      </c>
      <c r="I22" s="1">
        <v>145.69999999999999</v>
      </c>
      <c r="J22" s="1">
        <v>217</v>
      </c>
      <c r="K22" s="1">
        <v>138.30000000000001</v>
      </c>
      <c r="L22" s="1">
        <v>114</v>
      </c>
      <c r="M22" s="1">
        <v>148.69999999999999</v>
      </c>
      <c r="N22" s="1">
        <v>135.80000000000001</v>
      </c>
      <c r="O22" s="1">
        <v>158</v>
      </c>
      <c r="P22" s="1">
        <v>155</v>
      </c>
      <c r="Q22" s="1">
        <v>1946.1000000000001</v>
      </c>
      <c r="R22" s="1">
        <v>149</v>
      </c>
      <c r="S22" s="1">
        <v>152.80000000000001</v>
      </c>
      <c r="T22" s="1">
        <v>143.69999999999999</v>
      </c>
      <c r="U22" s="1">
        <v>145.80000000000001</v>
      </c>
      <c r="V22" s="1">
        <v>129.80000000000001</v>
      </c>
      <c r="W22" s="1">
        <v>155.69999999999999</v>
      </c>
      <c r="X22" s="1">
        <v>876.8</v>
      </c>
      <c r="Y22" s="1">
        <v>150.4</v>
      </c>
      <c r="AC22" s="1"/>
      <c r="AD22" s="1"/>
      <c r="AF22" s="45"/>
      <c r="AH22" s="45"/>
      <c r="AJ22" s="45"/>
    </row>
    <row r="23" spans="1:36" x14ac:dyDescent="0.25">
      <c r="A23" s="1" t="s">
        <v>34</v>
      </c>
      <c r="B23" s="1">
        <v>2020</v>
      </c>
      <c r="C23" s="1" t="s">
        <v>31</v>
      </c>
      <c r="D23" s="1">
        <v>144.30000000000001</v>
      </c>
      <c r="E23" s="1">
        <v>167.4</v>
      </c>
      <c r="F23" s="1">
        <v>154.9</v>
      </c>
      <c r="G23" s="1">
        <v>150.1</v>
      </c>
      <c r="H23" s="1">
        <v>129.9</v>
      </c>
      <c r="I23" s="1">
        <v>143.19999999999999</v>
      </c>
      <c r="J23" s="1">
        <v>197</v>
      </c>
      <c r="K23" s="1">
        <v>140.4</v>
      </c>
      <c r="L23" s="1">
        <v>114.1</v>
      </c>
      <c r="M23" s="1">
        <v>150.9</v>
      </c>
      <c r="N23" s="1">
        <v>136.1</v>
      </c>
      <c r="O23" s="1">
        <v>158.6</v>
      </c>
      <c r="P23" s="1">
        <v>153.5</v>
      </c>
      <c r="Q23" s="1">
        <v>1940.3999999999999</v>
      </c>
      <c r="R23" s="1">
        <v>149.19999999999999</v>
      </c>
      <c r="S23" s="1">
        <v>153.9</v>
      </c>
      <c r="T23" s="1">
        <v>144.6</v>
      </c>
      <c r="U23" s="1">
        <v>146.19999999999999</v>
      </c>
      <c r="V23" s="1">
        <v>130.9</v>
      </c>
      <c r="W23" s="1">
        <v>156.1</v>
      </c>
      <c r="X23" s="1">
        <v>880.90000000000009</v>
      </c>
      <c r="Y23" s="1">
        <v>151.19999999999999</v>
      </c>
      <c r="AC23" s="1"/>
      <c r="AD23" s="1"/>
      <c r="AF23" s="45"/>
      <c r="AH23" s="45"/>
      <c r="AJ23" s="45"/>
    </row>
    <row r="24" spans="1:36" x14ac:dyDescent="0.25">
      <c r="A24" s="1" t="s">
        <v>34</v>
      </c>
      <c r="B24" s="1">
        <v>2020</v>
      </c>
      <c r="C24" s="1" t="s">
        <v>35</v>
      </c>
      <c r="D24" s="1">
        <v>144.80000000000001</v>
      </c>
      <c r="E24" s="1">
        <v>167.5</v>
      </c>
      <c r="F24" s="1">
        <v>151.80000000000001</v>
      </c>
      <c r="G24" s="1">
        <v>150.80000000000001</v>
      </c>
      <c r="H24" s="1">
        <v>131.4</v>
      </c>
      <c r="I24" s="1">
        <v>141.80000000000001</v>
      </c>
      <c r="J24" s="1">
        <v>170.7</v>
      </c>
      <c r="K24" s="1">
        <v>141.1</v>
      </c>
      <c r="L24" s="1">
        <v>113.6</v>
      </c>
      <c r="M24" s="1">
        <v>152</v>
      </c>
      <c r="N24" s="1">
        <v>136.5</v>
      </c>
      <c r="O24" s="1">
        <v>159.1</v>
      </c>
      <c r="P24" s="1">
        <v>150.5</v>
      </c>
      <c r="Q24" s="1">
        <v>1911.6</v>
      </c>
      <c r="R24" s="1">
        <v>149.5</v>
      </c>
      <c r="S24" s="1">
        <v>154.80000000000001</v>
      </c>
      <c r="T24" s="1">
        <v>147.19999999999999</v>
      </c>
      <c r="U24" s="1">
        <v>146.4</v>
      </c>
      <c r="V24" s="1">
        <v>130.30000000000001</v>
      </c>
      <c r="W24" s="1">
        <v>156.19999999999999</v>
      </c>
      <c r="X24" s="1">
        <v>884.40000000000009</v>
      </c>
      <c r="Y24" s="1">
        <v>151.69999999999999</v>
      </c>
      <c r="AC24" s="1"/>
      <c r="AD24" s="1"/>
      <c r="AF24" s="45"/>
      <c r="AH24" s="45"/>
      <c r="AJ24" s="45"/>
    </row>
    <row r="25" spans="1:36" x14ac:dyDescent="0.25">
      <c r="AC25" s="1"/>
      <c r="AD25" s="1"/>
      <c r="AF25" s="45"/>
      <c r="AH25" s="45"/>
      <c r="AJ25" s="45"/>
    </row>
    <row r="26" spans="1:36" x14ac:dyDescent="0.25">
      <c r="AC26" s="1"/>
      <c r="AD26" s="1"/>
      <c r="AF26" s="45"/>
      <c r="AH26" s="45"/>
      <c r="AJ26" s="45"/>
    </row>
    <row r="28" spans="1:36" ht="13" x14ac:dyDescent="0.3">
      <c r="B28" s="19" t="s">
        <v>244</v>
      </c>
    </row>
    <row r="29" spans="1:36" ht="13" x14ac:dyDescent="0.3">
      <c r="A29" s="2" t="s">
        <v>0</v>
      </c>
      <c r="B29" s="2" t="s">
        <v>1</v>
      </c>
      <c r="C29" s="2" t="s">
        <v>2</v>
      </c>
      <c r="D29" s="2" t="s">
        <v>3</v>
      </c>
      <c r="E29" s="2" t="s">
        <v>4</v>
      </c>
      <c r="F29" s="2" t="s">
        <v>5</v>
      </c>
      <c r="G29" s="2" t="s">
        <v>6</v>
      </c>
      <c r="H29" s="2" t="s">
        <v>7</v>
      </c>
      <c r="I29" s="2" t="s">
        <v>8</v>
      </c>
      <c r="J29" s="2" t="s">
        <v>9</v>
      </c>
      <c r="K29" s="2" t="s">
        <v>10</v>
      </c>
      <c r="L29" s="2" t="s">
        <v>11</v>
      </c>
      <c r="M29" s="2" t="s">
        <v>12</v>
      </c>
      <c r="N29" s="2" t="s">
        <v>13</v>
      </c>
      <c r="O29" s="2" t="s">
        <v>14</v>
      </c>
      <c r="P29" s="2" t="s">
        <v>15</v>
      </c>
      <c r="Q29" s="12" t="s">
        <v>245</v>
      </c>
      <c r="R29" s="2" t="s">
        <v>19</v>
      </c>
      <c r="S29" s="2" t="s">
        <v>20</v>
      </c>
      <c r="T29" s="2" t="s">
        <v>21</v>
      </c>
      <c r="U29" s="2" t="s">
        <v>22</v>
      </c>
      <c r="V29" s="2" t="s">
        <v>24</v>
      </c>
      <c r="W29" s="2" t="s">
        <v>26</v>
      </c>
      <c r="X29" s="12" t="s">
        <v>246</v>
      </c>
      <c r="Y29" s="12" t="s">
        <v>247</v>
      </c>
    </row>
    <row r="30" spans="1:36" x14ac:dyDescent="0.25">
      <c r="A30" s="1" t="s">
        <v>34</v>
      </c>
      <c r="B30" s="1">
        <v>2020</v>
      </c>
      <c r="C30" s="1" t="s">
        <v>36</v>
      </c>
      <c r="D30" s="1">
        <v>145.1</v>
      </c>
      <c r="E30" s="1">
        <v>167</v>
      </c>
      <c r="F30" s="1">
        <v>148.1</v>
      </c>
      <c r="G30" s="1">
        <v>151.5</v>
      </c>
      <c r="H30" s="1">
        <v>131.19999999999999</v>
      </c>
      <c r="I30" s="1">
        <v>142.5</v>
      </c>
      <c r="J30" s="1">
        <v>157.30000000000001</v>
      </c>
      <c r="K30" s="1">
        <v>141.1</v>
      </c>
      <c r="L30" s="1">
        <v>113.2</v>
      </c>
      <c r="M30" s="1">
        <v>153.19999999999999</v>
      </c>
      <c r="N30" s="1">
        <v>136.69999999999999</v>
      </c>
      <c r="O30" s="1">
        <v>159.6</v>
      </c>
      <c r="P30" s="1">
        <v>148.9</v>
      </c>
      <c r="Q30" s="44">
        <f>SUM(D30:P30)</f>
        <v>1895.4</v>
      </c>
      <c r="R30" s="1">
        <v>149.80000000000001</v>
      </c>
      <c r="S30" s="1">
        <v>154.5</v>
      </c>
      <c r="T30" s="1">
        <v>148.9</v>
      </c>
      <c r="U30" s="1">
        <v>146.4</v>
      </c>
      <c r="V30" s="1">
        <v>129.9</v>
      </c>
      <c r="W30" s="1">
        <v>156.1</v>
      </c>
      <c r="X30">
        <f>SUM(R30:W30)</f>
        <v>885.6</v>
      </c>
      <c r="Y30" s="1">
        <v>152.30000000000001</v>
      </c>
    </row>
    <row r="31" spans="1:36" x14ac:dyDescent="0.25">
      <c r="A31" s="1" t="s">
        <v>34</v>
      </c>
      <c r="B31" s="1">
        <v>2020</v>
      </c>
      <c r="C31" s="1" t="s">
        <v>37</v>
      </c>
      <c r="D31" s="1">
        <v>148.69999999999999</v>
      </c>
      <c r="E31" s="14">
        <v>178.55</v>
      </c>
      <c r="F31" s="1">
        <v>148.80000000000001</v>
      </c>
      <c r="G31" s="1">
        <v>155.6</v>
      </c>
      <c r="H31" s="1">
        <v>135.1</v>
      </c>
      <c r="I31" s="1">
        <v>149.9</v>
      </c>
      <c r="J31" s="1">
        <v>168.6</v>
      </c>
      <c r="K31" s="1">
        <v>150.4</v>
      </c>
      <c r="L31" s="1">
        <v>120.3</v>
      </c>
      <c r="M31" s="1">
        <v>157.1</v>
      </c>
      <c r="N31" s="1">
        <v>136.80000000000001</v>
      </c>
      <c r="O31" s="14">
        <v>160.39999999999998</v>
      </c>
      <c r="P31" s="1">
        <v>151.4</v>
      </c>
      <c r="Q31" s="44">
        <f t="shared" ref="Q31:Q52" si="0">SUM(D31:P31)</f>
        <v>1961.65</v>
      </c>
      <c r="R31" s="14">
        <v>146.39999999999998</v>
      </c>
      <c r="S31" s="1">
        <v>155.6</v>
      </c>
      <c r="T31" s="1">
        <v>144.1</v>
      </c>
      <c r="U31" s="1">
        <v>151.6</v>
      </c>
      <c r="V31" s="14">
        <v>126.95</v>
      </c>
      <c r="W31" s="14">
        <v>152.5</v>
      </c>
      <c r="X31">
        <f t="shared" ref="X31:X52" si="1">SUM(R31:W31)</f>
        <v>877.15000000000009</v>
      </c>
      <c r="Y31" s="1">
        <v>150.69999999999999</v>
      </c>
    </row>
    <row r="32" spans="1:36" x14ac:dyDescent="0.25">
      <c r="A32" s="1" t="s">
        <v>34</v>
      </c>
      <c r="B32" s="1">
        <v>2020</v>
      </c>
      <c r="C32" s="1" t="s">
        <v>38</v>
      </c>
      <c r="D32" s="14">
        <v>149.14999999999998</v>
      </c>
      <c r="E32" s="14">
        <v>185.625</v>
      </c>
      <c r="F32" s="1">
        <v>451.5</v>
      </c>
      <c r="G32" s="14">
        <v>154.44999999999999</v>
      </c>
      <c r="H32" s="14">
        <v>135.69999999999999</v>
      </c>
      <c r="I32" s="14">
        <v>148.55000000000001</v>
      </c>
      <c r="J32" s="14">
        <v>162.55000000000001</v>
      </c>
      <c r="K32" s="14">
        <v>150.65</v>
      </c>
      <c r="L32" s="14">
        <v>117.25</v>
      </c>
      <c r="M32" s="14">
        <v>158.30000000000001</v>
      </c>
      <c r="N32" s="14">
        <v>138.10000000000002</v>
      </c>
      <c r="O32" s="14">
        <v>161.1</v>
      </c>
      <c r="P32" s="14">
        <v>152.69999999999999</v>
      </c>
      <c r="Q32" s="44">
        <f t="shared" si="0"/>
        <v>2265.6249999999995</v>
      </c>
      <c r="R32" s="14">
        <v>148.89999999999998</v>
      </c>
      <c r="S32" s="14">
        <v>155.14999999999998</v>
      </c>
      <c r="T32" s="14">
        <v>143</v>
      </c>
      <c r="U32" s="14">
        <v>149</v>
      </c>
      <c r="V32" s="14">
        <v>130.97499999999999</v>
      </c>
      <c r="W32" s="14">
        <v>154.44999999999999</v>
      </c>
      <c r="X32">
        <f t="shared" si="1"/>
        <v>881.47499999999991</v>
      </c>
      <c r="Y32" s="14">
        <v>152.55000000000001</v>
      </c>
    </row>
    <row r="33" spans="1:25" x14ac:dyDescent="0.25">
      <c r="A33" s="1" t="s">
        <v>34</v>
      </c>
      <c r="B33" s="1">
        <v>2020</v>
      </c>
      <c r="C33" s="1" t="s">
        <v>39</v>
      </c>
      <c r="D33" s="1">
        <v>149.6</v>
      </c>
      <c r="E33" s="1">
        <v>192.7</v>
      </c>
      <c r="F33" s="1">
        <v>151.4</v>
      </c>
      <c r="G33" s="1">
        <v>153.30000000000001</v>
      </c>
      <c r="H33" s="1">
        <v>136.30000000000001</v>
      </c>
      <c r="I33" s="1">
        <v>147.19999999999999</v>
      </c>
      <c r="J33" s="1">
        <v>156.5</v>
      </c>
      <c r="K33" s="1">
        <v>150.9</v>
      </c>
      <c r="L33" s="1">
        <v>114.2</v>
      </c>
      <c r="M33" s="1">
        <v>159.5</v>
      </c>
      <c r="N33" s="1">
        <v>139.4</v>
      </c>
      <c r="O33" s="1">
        <v>161.80000000000001</v>
      </c>
      <c r="P33" s="1">
        <v>154</v>
      </c>
      <c r="Q33" s="44">
        <f t="shared" si="0"/>
        <v>1966.8000000000002</v>
      </c>
      <c r="R33" s="1">
        <v>151.4</v>
      </c>
      <c r="S33" s="1">
        <v>154.69999999999999</v>
      </c>
      <c r="T33" s="1">
        <v>141.9</v>
      </c>
      <c r="U33" s="1">
        <v>146.4</v>
      </c>
      <c r="V33" s="1">
        <v>135</v>
      </c>
      <c r="W33" s="1">
        <v>156.4</v>
      </c>
      <c r="X33">
        <f t="shared" si="1"/>
        <v>885.8</v>
      </c>
      <c r="Y33" s="1">
        <v>154.4</v>
      </c>
    </row>
    <row r="34" spans="1:25" x14ac:dyDescent="0.25">
      <c r="A34" s="1" t="s">
        <v>34</v>
      </c>
      <c r="B34" s="1">
        <v>2020</v>
      </c>
      <c r="C34" s="1" t="s">
        <v>40</v>
      </c>
      <c r="D34" s="1">
        <v>149.6</v>
      </c>
      <c r="E34" s="1">
        <v>192.7</v>
      </c>
      <c r="F34" s="1">
        <v>151.4</v>
      </c>
      <c r="G34" s="1">
        <v>153.30000000000001</v>
      </c>
      <c r="H34" s="1">
        <v>136.30000000000001</v>
      </c>
      <c r="I34" s="1">
        <v>147.19999999999999</v>
      </c>
      <c r="J34" s="1">
        <v>156.5</v>
      </c>
      <c r="K34" s="1">
        <v>150.9</v>
      </c>
      <c r="L34" s="1">
        <v>114.2</v>
      </c>
      <c r="M34" s="1">
        <v>159.5</v>
      </c>
      <c r="N34" s="1">
        <v>139.4</v>
      </c>
      <c r="O34" s="1">
        <v>161.80000000000001</v>
      </c>
      <c r="P34" s="1">
        <v>154</v>
      </c>
      <c r="Q34" s="44">
        <f t="shared" si="0"/>
        <v>1966.8000000000002</v>
      </c>
      <c r="R34" s="1">
        <v>151.4</v>
      </c>
      <c r="S34" s="1">
        <v>154.69999999999999</v>
      </c>
      <c r="T34" s="1">
        <v>141.9</v>
      </c>
      <c r="U34" s="1">
        <v>146.4</v>
      </c>
      <c r="V34" s="1">
        <v>135</v>
      </c>
      <c r="W34" s="1">
        <v>156.4</v>
      </c>
      <c r="X34">
        <f t="shared" si="1"/>
        <v>885.8</v>
      </c>
      <c r="Y34" s="1">
        <v>154.4</v>
      </c>
    </row>
    <row r="35" spans="1:25" x14ac:dyDescent="0.25">
      <c r="A35" s="1" t="s">
        <v>34</v>
      </c>
      <c r="B35" s="1">
        <v>2020</v>
      </c>
      <c r="C35" s="1" t="s">
        <v>41</v>
      </c>
      <c r="D35" s="1">
        <v>148.9</v>
      </c>
      <c r="E35" s="1">
        <v>190.9</v>
      </c>
      <c r="F35" s="1">
        <v>150.80000000000001</v>
      </c>
      <c r="G35" s="1">
        <v>153.30000000000001</v>
      </c>
      <c r="H35" s="1">
        <v>137.4</v>
      </c>
      <c r="I35" s="1">
        <v>150.4</v>
      </c>
      <c r="J35" s="1">
        <v>178.1</v>
      </c>
      <c r="K35" s="1">
        <v>150.4</v>
      </c>
      <c r="L35" s="1">
        <v>115.1</v>
      </c>
      <c r="M35" s="1">
        <v>160</v>
      </c>
      <c r="N35" s="1">
        <v>140.6</v>
      </c>
      <c r="O35" s="1">
        <v>162.30000000000001</v>
      </c>
      <c r="P35" s="1">
        <v>157</v>
      </c>
      <c r="Q35" s="44">
        <f t="shared" si="0"/>
        <v>1995.1999999999998</v>
      </c>
      <c r="R35" s="1">
        <v>151.69999999999999</v>
      </c>
      <c r="S35" s="1">
        <v>155.5</v>
      </c>
      <c r="T35" s="1">
        <v>143</v>
      </c>
      <c r="U35" s="1">
        <v>148.4</v>
      </c>
      <c r="V35" s="1">
        <v>138.5</v>
      </c>
      <c r="W35" s="1">
        <v>158.5</v>
      </c>
      <c r="X35">
        <f t="shared" si="1"/>
        <v>895.6</v>
      </c>
      <c r="Y35" s="1">
        <v>155</v>
      </c>
    </row>
    <row r="36" spans="1:25" x14ac:dyDescent="0.25">
      <c r="A36" s="1" t="s">
        <v>34</v>
      </c>
      <c r="B36" s="1">
        <v>2020</v>
      </c>
      <c r="C36" s="1" t="s">
        <v>42</v>
      </c>
      <c r="D36" s="1">
        <v>148.4</v>
      </c>
      <c r="E36" s="1">
        <v>187.1</v>
      </c>
      <c r="F36" s="1">
        <v>152.5</v>
      </c>
      <c r="G36" s="1">
        <v>153.6</v>
      </c>
      <c r="H36" s="1">
        <v>138.19999999999999</v>
      </c>
      <c r="I36" s="1">
        <v>150.9</v>
      </c>
      <c r="J36" s="1">
        <v>186.7</v>
      </c>
      <c r="K36" s="1">
        <v>149.80000000000001</v>
      </c>
      <c r="L36" s="1">
        <v>116.4</v>
      </c>
      <c r="M36" s="1">
        <v>160.30000000000001</v>
      </c>
      <c r="N36" s="1">
        <v>142.19999999999999</v>
      </c>
      <c r="O36" s="1">
        <v>162.9</v>
      </c>
      <c r="P36" s="1">
        <v>158</v>
      </c>
      <c r="Q36" s="44">
        <f t="shared" si="0"/>
        <v>2007</v>
      </c>
      <c r="R36" s="1">
        <v>152</v>
      </c>
      <c r="S36" s="1">
        <v>156.30000000000001</v>
      </c>
      <c r="T36" s="1">
        <v>142.9</v>
      </c>
      <c r="U36" s="1">
        <v>148.69999999999999</v>
      </c>
      <c r="V36" s="1">
        <v>139.6</v>
      </c>
      <c r="W36" s="1">
        <v>157.5</v>
      </c>
      <c r="X36">
        <f t="shared" si="1"/>
        <v>897.00000000000011</v>
      </c>
      <c r="Y36" s="1">
        <v>155.6</v>
      </c>
    </row>
    <row r="37" spans="1:25" x14ac:dyDescent="0.25">
      <c r="A37" s="1" t="s">
        <v>34</v>
      </c>
      <c r="B37" s="1">
        <v>2020</v>
      </c>
      <c r="C37" s="1" t="s">
        <v>43</v>
      </c>
      <c r="D37" s="1">
        <v>147.5</v>
      </c>
      <c r="E37" s="1">
        <v>188.9</v>
      </c>
      <c r="F37" s="1">
        <v>161.4</v>
      </c>
      <c r="G37" s="1">
        <v>153.6</v>
      </c>
      <c r="H37" s="1">
        <v>140.1</v>
      </c>
      <c r="I37" s="1">
        <v>151.19999999999999</v>
      </c>
      <c r="J37" s="1">
        <v>209.2</v>
      </c>
      <c r="K37" s="1">
        <v>150.9</v>
      </c>
      <c r="L37" s="1">
        <v>116.2</v>
      </c>
      <c r="M37" s="1">
        <v>161</v>
      </c>
      <c r="N37" s="1">
        <v>144</v>
      </c>
      <c r="O37" s="1">
        <v>163.19999999999999</v>
      </c>
      <c r="P37" s="1">
        <v>161.4</v>
      </c>
      <c r="Q37" s="44">
        <f t="shared" si="0"/>
        <v>2048.6000000000004</v>
      </c>
      <c r="R37" s="1">
        <v>152.30000000000001</v>
      </c>
      <c r="S37" s="1">
        <v>156.5</v>
      </c>
      <c r="T37" s="1">
        <v>143.1</v>
      </c>
      <c r="U37" s="1">
        <v>148.69999999999999</v>
      </c>
      <c r="V37" s="1">
        <v>140.6</v>
      </c>
      <c r="W37" s="1">
        <v>158.5</v>
      </c>
      <c r="X37">
        <f t="shared" si="1"/>
        <v>899.69999999999993</v>
      </c>
      <c r="Y37" s="1">
        <v>156.30000000000001</v>
      </c>
    </row>
    <row r="38" spans="1:25" x14ac:dyDescent="0.25">
      <c r="A38" s="1" t="s">
        <v>34</v>
      </c>
      <c r="B38" s="1">
        <v>2020</v>
      </c>
      <c r="C38" s="1" t="s">
        <v>44</v>
      </c>
      <c r="D38" s="1">
        <v>146.80000000000001</v>
      </c>
      <c r="E38" s="1">
        <v>191</v>
      </c>
      <c r="F38" s="1">
        <v>173.6</v>
      </c>
      <c r="G38" s="1">
        <v>153.80000000000001</v>
      </c>
      <c r="H38" s="1">
        <v>142.69999999999999</v>
      </c>
      <c r="I38" s="1">
        <v>148.4</v>
      </c>
      <c r="J38" s="1">
        <v>230</v>
      </c>
      <c r="K38" s="1">
        <v>156.80000000000001</v>
      </c>
      <c r="L38" s="1">
        <v>115.7</v>
      </c>
      <c r="M38" s="1">
        <v>161.80000000000001</v>
      </c>
      <c r="N38" s="1">
        <v>146.5</v>
      </c>
      <c r="O38" s="1">
        <v>163.80000000000001</v>
      </c>
      <c r="P38" s="1">
        <v>164.7</v>
      </c>
      <c r="Q38" s="44">
        <f t="shared" si="0"/>
        <v>2095.6</v>
      </c>
      <c r="R38" s="1">
        <v>152.80000000000001</v>
      </c>
      <c r="S38" s="1">
        <v>158</v>
      </c>
      <c r="T38" s="1">
        <v>143.6</v>
      </c>
      <c r="U38" s="1">
        <v>149.19999999999999</v>
      </c>
      <c r="V38" s="1">
        <v>140.4</v>
      </c>
      <c r="W38" s="1">
        <v>158.6</v>
      </c>
      <c r="X38">
        <f t="shared" si="1"/>
        <v>902.59999999999991</v>
      </c>
      <c r="Y38" s="1">
        <v>157.19999999999999</v>
      </c>
    </row>
    <row r="39" spans="1:25" x14ac:dyDescent="0.25">
      <c r="A39" s="1" t="s">
        <v>34</v>
      </c>
      <c r="B39" s="1">
        <v>2020</v>
      </c>
      <c r="C39" s="1" t="s">
        <v>45</v>
      </c>
      <c r="D39" s="1">
        <v>146</v>
      </c>
      <c r="E39" s="1">
        <v>191</v>
      </c>
      <c r="F39" s="1">
        <v>175.3</v>
      </c>
      <c r="G39" s="1">
        <v>154.1</v>
      </c>
      <c r="H39" s="1">
        <v>146.6</v>
      </c>
      <c r="I39" s="1">
        <v>147.69999999999999</v>
      </c>
      <c r="J39" s="1">
        <v>230.5</v>
      </c>
      <c r="K39" s="1">
        <v>160.19999999999999</v>
      </c>
      <c r="L39" s="1">
        <v>115.3</v>
      </c>
      <c r="M39" s="1">
        <v>163</v>
      </c>
      <c r="N39" s="1">
        <v>149.19999999999999</v>
      </c>
      <c r="O39" s="1">
        <v>164.8</v>
      </c>
      <c r="P39" s="1">
        <v>165.4</v>
      </c>
      <c r="Q39" s="44">
        <f t="shared" si="0"/>
        <v>2109.1</v>
      </c>
      <c r="R39" s="1">
        <v>153.6</v>
      </c>
      <c r="S39" s="1">
        <v>158.4</v>
      </c>
      <c r="T39" s="1">
        <v>144.6</v>
      </c>
      <c r="U39" s="1">
        <v>149.69999999999999</v>
      </c>
      <c r="V39" s="1">
        <v>140.69999999999999</v>
      </c>
      <c r="W39" s="1">
        <v>159.4</v>
      </c>
      <c r="X39">
        <f t="shared" si="1"/>
        <v>906.4</v>
      </c>
      <c r="Y39" s="1">
        <v>158.30000000000001</v>
      </c>
    </row>
    <row r="40" spans="1:25" x14ac:dyDescent="0.25">
      <c r="A40" s="1" t="s">
        <v>34</v>
      </c>
      <c r="B40" s="1">
        <v>2021</v>
      </c>
      <c r="C40" s="1" t="s">
        <v>36</v>
      </c>
      <c r="D40" s="1">
        <v>144.1</v>
      </c>
      <c r="E40" s="1">
        <v>192.2</v>
      </c>
      <c r="F40" s="1">
        <v>163.80000000000001</v>
      </c>
      <c r="G40" s="1">
        <v>154.9</v>
      </c>
      <c r="H40" s="1">
        <v>163.9</v>
      </c>
      <c r="I40" s="1">
        <v>153.69999999999999</v>
      </c>
      <c r="J40" s="1">
        <v>149.5</v>
      </c>
      <c r="K40" s="1">
        <v>159.80000000000001</v>
      </c>
      <c r="L40" s="1">
        <v>112.6</v>
      </c>
      <c r="M40" s="1">
        <v>163.5</v>
      </c>
      <c r="N40" s="1">
        <v>156.5</v>
      </c>
      <c r="O40" s="1">
        <v>168.2</v>
      </c>
      <c r="P40" s="1">
        <v>156.69999999999999</v>
      </c>
      <c r="Q40" s="44">
        <f t="shared" si="0"/>
        <v>2039.3999999999999</v>
      </c>
      <c r="R40" s="1">
        <v>156.4</v>
      </c>
      <c r="S40" s="1">
        <v>159.9</v>
      </c>
      <c r="T40" s="1">
        <v>155.5</v>
      </c>
      <c r="U40" s="1">
        <v>151.19999999999999</v>
      </c>
      <c r="V40" s="1">
        <v>146.19999999999999</v>
      </c>
      <c r="W40" s="1">
        <v>160.19999999999999</v>
      </c>
      <c r="X40">
        <f t="shared" si="1"/>
        <v>929.40000000000009</v>
      </c>
      <c r="Y40" s="1">
        <v>161.69999999999999</v>
      </c>
    </row>
    <row r="41" spans="1:25" x14ac:dyDescent="0.25">
      <c r="A41" s="1" t="s">
        <v>34</v>
      </c>
      <c r="B41" s="1">
        <v>2021</v>
      </c>
      <c r="C41" s="1" t="s">
        <v>37</v>
      </c>
      <c r="D41" s="1">
        <v>144.30000000000001</v>
      </c>
      <c r="E41" s="1">
        <v>198</v>
      </c>
      <c r="F41" s="1">
        <v>164.6</v>
      </c>
      <c r="G41" s="1">
        <v>155.4</v>
      </c>
      <c r="H41" s="1">
        <v>170.1</v>
      </c>
      <c r="I41" s="1">
        <v>164.4</v>
      </c>
      <c r="J41" s="1">
        <v>144.1</v>
      </c>
      <c r="K41" s="1">
        <v>161.69999999999999</v>
      </c>
      <c r="L41" s="1">
        <v>113.1</v>
      </c>
      <c r="M41" s="1">
        <v>163.9</v>
      </c>
      <c r="N41" s="1">
        <v>157.6</v>
      </c>
      <c r="O41" s="1">
        <v>168.9</v>
      </c>
      <c r="P41" s="1">
        <v>158</v>
      </c>
      <c r="Q41" s="44">
        <f t="shared" si="0"/>
        <v>2064.1</v>
      </c>
      <c r="R41" s="1">
        <v>157.30000000000001</v>
      </c>
      <c r="S41" s="1">
        <v>161.4</v>
      </c>
      <c r="T41" s="1">
        <v>155.6</v>
      </c>
      <c r="U41" s="1">
        <v>151.80000000000001</v>
      </c>
      <c r="V41" s="1">
        <v>146.6</v>
      </c>
      <c r="W41" s="1">
        <v>160.30000000000001</v>
      </c>
      <c r="X41">
        <f t="shared" si="1"/>
        <v>933.00000000000023</v>
      </c>
      <c r="Y41" s="1">
        <v>162.30000000000001</v>
      </c>
    </row>
    <row r="42" spans="1:25" x14ac:dyDescent="0.25">
      <c r="A42" s="1" t="s">
        <v>34</v>
      </c>
      <c r="B42" s="1">
        <v>2021</v>
      </c>
      <c r="C42" s="1" t="s">
        <v>38</v>
      </c>
      <c r="D42" s="1">
        <v>146.30000000000001</v>
      </c>
      <c r="E42" s="1">
        <v>200.5</v>
      </c>
      <c r="F42" s="1">
        <v>170.3</v>
      </c>
      <c r="G42" s="1">
        <v>156.1</v>
      </c>
      <c r="H42" s="1">
        <v>178.7</v>
      </c>
      <c r="I42" s="1">
        <v>167.1</v>
      </c>
      <c r="J42" s="1">
        <v>147.9</v>
      </c>
      <c r="K42" s="1">
        <v>165.4</v>
      </c>
      <c r="L42" s="1">
        <v>114.8</v>
      </c>
      <c r="M42" s="1">
        <v>168.2</v>
      </c>
      <c r="N42" s="1">
        <v>159.30000000000001</v>
      </c>
      <c r="O42" s="1">
        <v>170.4</v>
      </c>
      <c r="P42" s="1">
        <v>160.69999999999999</v>
      </c>
      <c r="Q42" s="44">
        <f t="shared" si="0"/>
        <v>2105.7000000000003</v>
      </c>
      <c r="R42" s="1">
        <v>160.4</v>
      </c>
      <c r="S42" s="1">
        <v>161.6</v>
      </c>
      <c r="T42" s="1">
        <v>159.4</v>
      </c>
      <c r="U42" s="1">
        <v>154.69999999999999</v>
      </c>
      <c r="V42" s="1">
        <v>148.9</v>
      </c>
      <c r="W42" s="1">
        <v>161.19999999999999</v>
      </c>
      <c r="X42">
        <f t="shared" si="1"/>
        <v>946.19999999999982</v>
      </c>
      <c r="Y42" s="1">
        <v>165.8</v>
      </c>
    </row>
    <row r="43" spans="1:25" x14ac:dyDescent="0.25">
      <c r="A43" s="1" t="s">
        <v>34</v>
      </c>
      <c r="B43" s="1">
        <v>2021</v>
      </c>
      <c r="C43" s="1" t="s">
        <v>39</v>
      </c>
      <c r="D43" s="1">
        <v>146.69999999999999</v>
      </c>
      <c r="E43" s="1">
        <v>202</v>
      </c>
      <c r="F43" s="1">
        <v>180.7</v>
      </c>
      <c r="G43" s="1">
        <v>156.19999999999999</v>
      </c>
      <c r="H43" s="1">
        <v>183.7</v>
      </c>
      <c r="I43" s="1">
        <v>164.6</v>
      </c>
      <c r="J43" s="1">
        <v>155.4</v>
      </c>
      <c r="K43" s="1">
        <v>166</v>
      </c>
      <c r="L43" s="1">
        <v>115.1</v>
      </c>
      <c r="M43" s="1">
        <v>168.5</v>
      </c>
      <c r="N43" s="1">
        <v>160</v>
      </c>
      <c r="O43" s="1">
        <v>172.4</v>
      </c>
      <c r="P43" s="1">
        <v>162.6</v>
      </c>
      <c r="Q43" s="44">
        <f t="shared" si="0"/>
        <v>2133.9</v>
      </c>
      <c r="R43" s="1">
        <v>160.69999999999999</v>
      </c>
      <c r="S43" s="1">
        <v>160.5</v>
      </c>
      <c r="T43" s="1">
        <v>159.80000000000001</v>
      </c>
      <c r="U43" s="1">
        <v>154.80000000000001</v>
      </c>
      <c r="V43" s="1">
        <v>150.69999999999999</v>
      </c>
      <c r="W43" s="1">
        <v>161.69999999999999</v>
      </c>
      <c r="X43">
        <f t="shared" si="1"/>
        <v>948.2</v>
      </c>
      <c r="Y43" s="1">
        <v>166.3</v>
      </c>
    </row>
    <row r="44" spans="1:25" x14ac:dyDescent="0.25">
      <c r="A44" s="1" t="s">
        <v>34</v>
      </c>
      <c r="B44" s="1">
        <v>2021</v>
      </c>
      <c r="C44" s="1" t="s">
        <v>40</v>
      </c>
      <c r="D44" s="1">
        <v>146.4</v>
      </c>
      <c r="E44" s="1">
        <v>206.8</v>
      </c>
      <c r="F44" s="1">
        <v>182.2</v>
      </c>
      <c r="G44" s="1">
        <v>157.5</v>
      </c>
      <c r="H44" s="1">
        <v>182.1</v>
      </c>
      <c r="I44" s="1">
        <v>163.9</v>
      </c>
      <c r="J44" s="1">
        <v>164.2</v>
      </c>
      <c r="K44" s="1">
        <v>164</v>
      </c>
      <c r="L44" s="1">
        <v>114.5</v>
      </c>
      <c r="M44" s="1">
        <v>168.3</v>
      </c>
      <c r="N44" s="1">
        <v>160.9</v>
      </c>
      <c r="O44" s="1">
        <v>172.2</v>
      </c>
      <c r="P44" s="1">
        <v>164</v>
      </c>
      <c r="Q44" s="44">
        <f t="shared" si="0"/>
        <v>2147</v>
      </c>
      <c r="R44" s="1">
        <v>161.4</v>
      </c>
      <c r="S44" s="1">
        <v>161.5</v>
      </c>
      <c r="T44" s="1">
        <v>160.69999999999999</v>
      </c>
      <c r="U44" s="1">
        <v>155.80000000000001</v>
      </c>
      <c r="V44" s="1">
        <v>153.1</v>
      </c>
      <c r="W44" s="1">
        <v>163.19999999999999</v>
      </c>
      <c r="X44">
        <f t="shared" si="1"/>
        <v>955.7</v>
      </c>
      <c r="Y44" s="1">
        <v>167</v>
      </c>
    </row>
    <row r="45" spans="1:25" x14ac:dyDescent="0.25">
      <c r="A45" s="1" t="s">
        <v>34</v>
      </c>
      <c r="B45" s="1">
        <v>2021</v>
      </c>
      <c r="C45" s="1" t="s">
        <v>41</v>
      </c>
      <c r="D45" s="1">
        <v>146.6</v>
      </c>
      <c r="E45" s="1">
        <v>204</v>
      </c>
      <c r="F45" s="1">
        <v>172.8</v>
      </c>
      <c r="G45" s="1">
        <v>158.4</v>
      </c>
      <c r="H45" s="1">
        <v>188</v>
      </c>
      <c r="I45" s="1">
        <v>156.80000000000001</v>
      </c>
      <c r="J45" s="1">
        <v>162.19999999999999</v>
      </c>
      <c r="K45" s="1">
        <v>164.1</v>
      </c>
      <c r="L45" s="1">
        <v>119.7</v>
      </c>
      <c r="M45" s="1">
        <v>168.8</v>
      </c>
      <c r="N45" s="1">
        <v>162.69999999999999</v>
      </c>
      <c r="O45" s="1">
        <v>173.9</v>
      </c>
      <c r="P45" s="1">
        <v>164</v>
      </c>
      <c r="Q45" s="44">
        <f t="shared" si="0"/>
        <v>2142</v>
      </c>
      <c r="R45" s="1">
        <v>163.19999999999999</v>
      </c>
      <c r="S45" s="1">
        <v>162.1</v>
      </c>
      <c r="T45" s="1">
        <v>162.6</v>
      </c>
      <c r="U45" s="1">
        <v>157.5</v>
      </c>
      <c r="V45" s="1">
        <v>154</v>
      </c>
      <c r="W45" s="1">
        <v>163.80000000000001</v>
      </c>
      <c r="X45">
        <f t="shared" si="1"/>
        <v>963.2</v>
      </c>
      <c r="Y45" s="1">
        <v>168.4</v>
      </c>
    </row>
    <row r="46" spans="1:25" x14ac:dyDescent="0.25">
      <c r="A46" s="1" t="s">
        <v>34</v>
      </c>
      <c r="B46" s="1">
        <v>2021</v>
      </c>
      <c r="C46" s="1" t="s">
        <v>42</v>
      </c>
      <c r="D46" s="1">
        <v>146.6</v>
      </c>
      <c r="E46" s="1">
        <v>204</v>
      </c>
      <c r="F46" s="1">
        <v>172.8</v>
      </c>
      <c r="G46" s="1">
        <v>158.4</v>
      </c>
      <c r="H46" s="1">
        <v>188</v>
      </c>
      <c r="I46" s="1">
        <v>156.69999999999999</v>
      </c>
      <c r="J46" s="1">
        <v>162.30000000000001</v>
      </c>
      <c r="K46" s="1">
        <v>164.1</v>
      </c>
      <c r="L46" s="1">
        <v>119.7</v>
      </c>
      <c r="M46" s="1">
        <v>168.8</v>
      </c>
      <c r="N46" s="1">
        <v>162.69999999999999</v>
      </c>
      <c r="O46" s="1">
        <v>173.9</v>
      </c>
      <c r="P46" s="1">
        <v>164</v>
      </c>
      <c r="Q46" s="44">
        <f t="shared" si="0"/>
        <v>2142</v>
      </c>
      <c r="R46" s="1">
        <v>163.30000000000001</v>
      </c>
      <c r="S46" s="1">
        <v>162.1</v>
      </c>
      <c r="T46" s="1">
        <v>162.6</v>
      </c>
      <c r="U46" s="1">
        <v>157.5</v>
      </c>
      <c r="V46" s="1">
        <v>154</v>
      </c>
      <c r="W46" s="1">
        <v>163.69999999999999</v>
      </c>
      <c r="X46">
        <f t="shared" si="1"/>
        <v>963.2</v>
      </c>
      <c r="Y46" s="1">
        <v>168.4</v>
      </c>
    </row>
    <row r="47" spans="1:25" x14ac:dyDescent="0.25">
      <c r="A47" s="1" t="s">
        <v>34</v>
      </c>
      <c r="B47" s="1">
        <v>2021</v>
      </c>
      <c r="C47" s="1" t="s">
        <v>43</v>
      </c>
      <c r="D47" s="1">
        <v>147.4</v>
      </c>
      <c r="E47" s="1">
        <v>204.6</v>
      </c>
      <c r="F47" s="1">
        <v>171.2</v>
      </c>
      <c r="G47" s="1">
        <v>158.69999999999999</v>
      </c>
      <c r="H47" s="1">
        <v>190.6</v>
      </c>
      <c r="I47" s="1">
        <v>155.69999999999999</v>
      </c>
      <c r="J47" s="1">
        <v>185.3</v>
      </c>
      <c r="K47" s="1">
        <v>165.2</v>
      </c>
      <c r="L47" s="1">
        <v>121.9</v>
      </c>
      <c r="M47" s="1">
        <v>169.3</v>
      </c>
      <c r="N47" s="1">
        <v>163.19999999999999</v>
      </c>
      <c r="O47" s="1">
        <v>174.7</v>
      </c>
      <c r="P47" s="1">
        <v>167.7</v>
      </c>
      <c r="Q47" s="44">
        <f t="shared" si="0"/>
        <v>2175.5</v>
      </c>
      <c r="R47" s="1">
        <v>164.3</v>
      </c>
      <c r="S47" s="1">
        <v>163.6</v>
      </c>
      <c r="T47" s="1">
        <v>164.2</v>
      </c>
      <c r="U47" s="1">
        <v>158.4</v>
      </c>
      <c r="V47" s="1">
        <v>155.69999999999999</v>
      </c>
      <c r="W47" s="1">
        <v>163.9</v>
      </c>
      <c r="X47">
        <f t="shared" si="1"/>
        <v>970.1</v>
      </c>
      <c r="Y47" s="1">
        <v>169.1</v>
      </c>
    </row>
    <row r="48" spans="1:25" x14ac:dyDescent="0.25">
      <c r="A48" s="1" t="s">
        <v>34</v>
      </c>
      <c r="B48" s="1">
        <v>2021</v>
      </c>
      <c r="C48" s="1" t="s">
        <v>44</v>
      </c>
      <c r="D48" s="1">
        <v>148.19999999999999</v>
      </c>
      <c r="E48" s="1">
        <v>201.6</v>
      </c>
      <c r="F48" s="1">
        <v>173</v>
      </c>
      <c r="G48" s="1">
        <v>159.30000000000001</v>
      </c>
      <c r="H48" s="1">
        <v>190.1</v>
      </c>
      <c r="I48" s="1">
        <v>156.5</v>
      </c>
      <c r="J48" s="1">
        <v>199.2</v>
      </c>
      <c r="K48" s="1">
        <v>165.3</v>
      </c>
      <c r="L48" s="1">
        <v>122.4</v>
      </c>
      <c r="M48" s="1">
        <v>169.6</v>
      </c>
      <c r="N48" s="1">
        <v>163.69999999999999</v>
      </c>
      <c r="O48" s="1">
        <v>175.5</v>
      </c>
      <c r="P48" s="1">
        <v>169.7</v>
      </c>
      <c r="Q48" s="44">
        <f t="shared" si="0"/>
        <v>2194.1</v>
      </c>
      <c r="R48" s="1">
        <v>165.8</v>
      </c>
      <c r="S48" s="1">
        <v>164.2</v>
      </c>
      <c r="T48" s="1">
        <v>163.9</v>
      </c>
      <c r="U48" s="1">
        <v>159.30000000000001</v>
      </c>
      <c r="V48" s="1">
        <v>154.80000000000001</v>
      </c>
      <c r="W48" s="1">
        <v>164.3</v>
      </c>
      <c r="X48">
        <f t="shared" si="1"/>
        <v>972.3</v>
      </c>
      <c r="Y48" s="1">
        <v>169.9</v>
      </c>
    </row>
    <row r="49" spans="1:25" x14ac:dyDescent="0.25">
      <c r="A49" s="1" t="s">
        <v>34</v>
      </c>
      <c r="B49" s="1">
        <v>2021</v>
      </c>
      <c r="C49" s="1" t="s">
        <v>45</v>
      </c>
      <c r="D49" s="1">
        <v>148.69999999999999</v>
      </c>
      <c r="E49" s="1">
        <v>198.8</v>
      </c>
      <c r="F49" s="1">
        <v>177.9</v>
      </c>
      <c r="G49" s="1">
        <v>159.9</v>
      </c>
      <c r="H49" s="1">
        <v>187.6</v>
      </c>
      <c r="I49" s="1">
        <v>154.9</v>
      </c>
      <c r="J49" s="1">
        <v>188.3</v>
      </c>
      <c r="K49" s="1">
        <v>164.4</v>
      </c>
      <c r="L49" s="1">
        <v>121</v>
      </c>
      <c r="M49" s="1">
        <v>170.5</v>
      </c>
      <c r="N49" s="1">
        <v>164.2</v>
      </c>
      <c r="O49" s="1">
        <v>176.5</v>
      </c>
      <c r="P49" s="1">
        <v>168.2</v>
      </c>
      <c r="Q49" s="44">
        <f t="shared" si="0"/>
        <v>2180.9</v>
      </c>
      <c r="R49" s="1">
        <v>167</v>
      </c>
      <c r="S49" s="1">
        <v>163.4</v>
      </c>
      <c r="T49" s="1">
        <v>164.1</v>
      </c>
      <c r="U49" s="1">
        <v>160.19999999999999</v>
      </c>
      <c r="V49" s="1">
        <v>155.69999999999999</v>
      </c>
      <c r="W49" s="1">
        <v>164.4</v>
      </c>
      <c r="X49">
        <f t="shared" si="1"/>
        <v>974.80000000000007</v>
      </c>
      <c r="Y49" s="1">
        <v>170.6</v>
      </c>
    </row>
    <row r="50" spans="1:25" x14ac:dyDescent="0.25">
      <c r="A50" s="1" t="s">
        <v>34</v>
      </c>
      <c r="B50" s="1">
        <v>2022</v>
      </c>
      <c r="C50" s="1" t="s">
        <v>31</v>
      </c>
      <c r="D50" s="1">
        <v>149.5</v>
      </c>
      <c r="E50" s="1">
        <v>198.7</v>
      </c>
      <c r="F50" s="1">
        <v>178.8</v>
      </c>
      <c r="G50" s="1">
        <v>160.5</v>
      </c>
      <c r="H50" s="1">
        <v>184.7</v>
      </c>
      <c r="I50" s="1">
        <v>153.69999999999999</v>
      </c>
      <c r="J50" s="1">
        <v>174.3</v>
      </c>
      <c r="K50" s="1">
        <v>163.9</v>
      </c>
      <c r="L50" s="1">
        <v>120</v>
      </c>
      <c r="M50" s="1">
        <v>172.1</v>
      </c>
      <c r="N50" s="1">
        <v>164.3</v>
      </c>
      <c r="O50" s="1">
        <v>177.3</v>
      </c>
      <c r="P50" s="1">
        <v>166.4</v>
      </c>
      <c r="Q50" s="44">
        <f t="shared" si="0"/>
        <v>2164.1999999999998</v>
      </c>
      <c r="R50" s="1">
        <v>168.5</v>
      </c>
      <c r="S50" s="1">
        <v>164.5</v>
      </c>
      <c r="T50" s="1">
        <v>164.2</v>
      </c>
      <c r="U50" s="1">
        <v>161.1</v>
      </c>
      <c r="V50" s="1">
        <v>156.5</v>
      </c>
      <c r="W50" s="1">
        <v>164.7</v>
      </c>
      <c r="X50">
        <f t="shared" si="1"/>
        <v>979.5</v>
      </c>
      <c r="Y50" s="1">
        <v>171.4</v>
      </c>
    </row>
    <row r="51" spans="1:25" x14ac:dyDescent="0.25">
      <c r="A51" s="1" t="s">
        <v>34</v>
      </c>
      <c r="B51" s="1">
        <v>2022</v>
      </c>
      <c r="C51" s="1" t="s">
        <v>35</v>
      </c>
      <c r="D51" s="1">
        <v>150</v>
      </c>
      <c r="E51" s="1">
        <v>200.6</v>
      </c>
      <c r="F51" s="1">
        <v>175.8</v>
      </c>
      <c r="G51" s="1">
        <v>160.69999999999999</v>
      </c>
      <c r="H51" s="1">
        <v>184.9</v>
      </c>
      <c r="I51" s="1">
        <v>153.69999999999999</v>
      </c>
      <c r="J51" s="1">
        <v>169.7</v>
      </c>
      <c r="K51" s="1">
        <v>163.69999999999999</v>
      </c>
      <c r="L51" s="1">
        <v>118.9</v>
      </c>
      <c r="M51" s="1">
        <v>174.3</v>
      </c>
      <c r="N51" s="1">
        <v>164.7</v>
      </c>
      <c r="O51" s="1">
        <v>178</v>
      </c>
      <c r="P51" s="1">
        <v>166.2</v>
      </c>
      <c r="Q51" s="44">
        <f t="shared" si="0"/>
        <v>2161.2000000000003</v>
      </c>
      <c r="R51" s="1">
        <v>169.6</v>
      </c>
      <c r="S51" s="1">
        <v>165.5</v>
      </c>
      <c r="T51" s="1">
        <v>165.7</v>
      </c>
      <c r="U51" s="1">
        <v>161.80000000000001</v>
      </c>
      <c r="V51" s="1">
        <v>156.9</v>
      </c>
      <c r="W51" s="1">
        <v>165.4</v>
      </c>
      <c r="X51">
        <f t="shared" si="1"/>
        <v>984.9</v>
      </c>
      <c r="Y51" s="1">
        <v>172.2</v>
      </c>
    </row>
    <row r="52" spans="1:25" x14ac:dyDescent="0.25">
      <c r="A52" s="1" t="s">
        <v>34</v>
      </c>
      <c r="B52" s="1">
        <v>2022</v>
      </c>
      <c r="C52" s="1" t="s">
        <v>36</v>
      </c>
      <c r="D52" s="1">
        <v>151.30000000000001</v>
      </c>
      <c r="E52" s="1">
        <v>210.7</v>
      </c>
      <c r="F52" s="1">
        <v>167.8</v>
      </c>
      <c r="G52" s="1">
        <v>162.19999999999999</v>
      </c>
      <c r="H52" s="1">
        <v>194.6</v>
      </c>
      <c r="I52" s="1">
        <v>157.6</v>
      </c>
      <c r="J52" s="1">
        <v>166.9</v>
      </c>
      <c r="K52" s="1">
        <v>163.9</v>
      </c>
      <c r="L52" s="1">
        <v>118.8</v>
      </c>
      <c r="M52" s="1">
        <v>177.4</v>
      </c>
      <c r="N52" s="1">
        <v>165.3</v>
      </c>
      <c r="O52" s="1">
        <v>179.3</v>
      </c>
      <c r="P52" s="1">
        <v>168.4</v>
      </c>
      <c r="Q52" s="44">
        <f t="shared" si="0"/>
        <v>2184.2000000000003</v>
      </c>
      <c r="R52" s="1">
        <v>171.1</v>
      </c>
      <c r="S52" s="1">
        <v>165.3</v>
      </c>
      <c r="T52" s="1">
        <v>167.2</v>
      </c>
      <c r="U52" s="1">
        <v>162.80000000000001</v>
      </c>
      <c r="V52" s="1">
        <v>157.9</v>
      </c>
      <c r="W52" s="1">
        <v>166</v>
      </c>
      <c r="X52">
        <f t="shared" si="1"/>
        <v>990.3</v>
      </c>
      <c r="Y52" s="1">
        <v>173</v>
      </c>
    </row>
    <row r="53" spans="1:25" x14ac:dyDescent="0.25">
      <c r="A53" s="1"/>
      <c r="B53" s="1"/>
      <c r="C53" s="1"/>
      <c r="D53" s="1"/>
      <c r="E53" s="1"/>
      <c r="F53" s="1"/>
      <c r="G53" s="1"/>
      <c r="H53" s="1"/>
      <c r="I53" s="1"/>
      <c r="J53" s="1"/>
      <c r="K53" s="1"/>
      <c r="L53" s="1"/>
      <c r="M53" s="1"/>
      <c r="N53" s="1"/>
      <c r="O53" s="1"/>
      <c r="P53" s="1"/>
      <c r="Q53" s="1"/>
      <c r="R53" s="1"/>
      <c r="S53" s="1"/>
      <c r="T53" s="1"/>
      <c r="U53" s="1"/>
      <c r="V53" s="1"/>
      <c r="W53" s="1"/>
      <c r="X53" s="1"/>
      <c r="Y53" s="1"/>
    </row>
  </sheetData>
  <mergeCells count="1">
    <mergeCell ref="AD1:A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B4B7B-BD46-460B-9BD1-43BD46054232}">
  <dimension ref="B1:N39"/>
  <sheetViews>
    <sheetView showGridLines="0" topLeftCell="F12" zoomScale="67" zoomScaleNormal="59" workbookViewId="0">
      <selection activeCell="K28" sqref="K28"/>
    </sheetView>
  </sheetViews>
  <sheetFormatPr defaultRowHeight="12.5" x14ac:dyDescent="0.25"/>
  <cols>
    <col min="2" max="2" width="11.6328125" customWidth="1"/>
    <col min="4" max="4" width="13.54296875" customWidth="1"/>
    <col min="5" max="5" width="19.36328125" customWidth="1"/>
    <col min="6" max="6" width="27.81640625" customWidth="1"/>
    <col min="7" max="7" width="22.08984375" customWidth="1"/>
    <col min="8" max="8" width="15.54296875" customWidth="1"/>
    <col min="9" max="9" width="15.26953125" customWidth="1"/>
    <col min="11" max="11" width="25.08984375" customWidth="1"/>
    <col min="12" max="12" width="14.26953125" customWidth="1"/>
    <col min="13" max="13" width="8.7265625" customWidth="1"/>
  </cols>
  <sheetData>
    <row r="1" spans="2:12" ht="15.5" x14ac:dyDescent="0.35">
      <c r="B1" s="87" t="s">
        <v>264</v>
      </c>
      <c r="C1" s="87"/>
      <c r="D1" s="87"/>
      <c r="E1" s="77" t="s">
        <v>289</v>
      </c>
      <c r="F1" s="77"/>
      <c r="G1" s="77"/>
    </row>
    <row r="3" spans="2:12" ht="13" thickBot="1" x14ac:dyDescent="0.3"/>
    <row r="4" spans="2:12" ht="13.5" thickBot="1" x14ac:dyDescent="0.35">
      <c r="B4" s="5" t="s">
        <v>279</v>
      </c>
      <c r="C4" s="70" t="s">
        <v>266</v>
      </c>
      <c r="D4" s="70" t="s">
        <v>267</v>
      </c>
      <c r="E4" s="71" t="s">
        <v>15</v>
      </c>
      <c r="F4" s="71" t="s">
        <v>16</v>
      </c>
      <c r="G4" s="71" t="s">
        <v>216</v>
      </c>
      <c r="H4" s="72" t="s">
        <v>20</v>
      </c>
      <c r="I4" s="73" t="s">
        <v>28</v>
      </c>
      <c r="J4" s="58"/>
    </row>
    <row r="5" spans="2:12" x14ac:dyDescent="0.25">
      <c r="B5" s="23" t="s">
        <v>268</v>
      </c>
      <c r="C5">
        <v>2021</v>
      </c>
      <c r="D5" s="30"/>
      <c r="E5" s="59">
        <v>1.2111405315288835</v>
      </c>
      <c r="F5" s="59">
        <v>0.37214247740564438</v>
      </c>
      <c r="G5" s="59">
        <v>0.54100843973164736</v>
      </c>
      <c r="H5" s="59">
        <v>0.47149592798972262</v>
      </c>
      <c r="I5" s="74">
        <v>0.36794112941932205</v>
      </c>
    </row>
    <row r="6" spans="2:12" x14ac:dyDescent="0.25">
      <c r="B6" s="23" t="s">
        <v>269</v>
      </c>
      <c r="C6">
        <v>2021</v>
      </c>
      <c r="D6" s="59">
        <v>-3.9632522697960866</v>
      </c>
      <c r="E6" s="59">
        <v>2.0154062303183164</v>
      </c>
      <c r="F6" s="59">
        <v>1.6419491525423699</v>
      </c>
      <c r="G6" s="59">
        <v>2.0878174773998994</v>
      </c>
      <c r="H6" s="59">
        <v>1.4718430034129644</v>
      </c>
      <c r="I6" s="74">
        <v>1.5380937201147373</v>
      </c>
    </row>
    <row r="7" spans="2:12" ht="13" thickBot="1" x14ac:dyDescent="0.3">
      <c r="B7" s="23" t="s">
        <v>270</v>
      </c>
      <c r="C7">
        <v>2021</v>
      </c>
      <c r="D7" s="59">
        <v>0.44887137539968791</v>
      </c>
      <c r="E7" s="59">
        <v>1.3392221114118732</v>
      </c>
      <c r="F7" s="59">
        <v>-0.57321521625846494</v>
      </c>
      <c r="G7" s="59">
        <v>8.43348091925014E-2</v>
      </c>
      <c r="H7" s="59">
        <v>-0.12612991381121841</v>
      </c>
      <c r="I7" s="74">
        <v>0.30609842241583007</v>
      </c>
    </row>
    <row r="8" spans="2:12" ht="13.5" thickBot="1" x14ac:dyDescent="0.35">
      <c r="B8" s="23" t="s">
        <v>271</v>
      </c>
      <c r="C8">
        <v>2021</v>
      </c>
      <c r="D8" s="59">
        <v>-2.6400220514262216</v>
      </c>
      <c r="E8" s="59">
        <v>0.61389943296311489</v>
      </c>
      <c r="F8" s="59">
        <v>0.20964360587000905</v>
      </c>
      <c r="G8" s="59">
        <v>0.54771434590266821</v>
      </c>
      <c r="H8" s="59">
        <v>0.61039781098715573</v>
      </c>
      <c r="I8" s="74">
        <v>0.77464788732393297</v>
      </c>
      <c r="K8" s="78" t="s">
        <v>290</v>
      </c>
      <c r="L8" s="79" t="s">
        <v>287</v>
      </c>
    </row>
    <row r="9" spans="2:12" x14ac:dyDescent="0.25">
      <c r="B9" s="23" t="s">
        <v>272</v>
      </c>
      <c r="C9">
        <v>2021</v>
      </c>
      <c r="D9" s="59">
        <v>13.201452944740865</v>
      </c>
      <c r="E9" s="59">
        <v>-0.2328830926874709</v>
      </c>
      <c r="F9" s="59">
        <v>0.47071129707113268</v>
      </c>
      <c r="G9" s="59">
        <v>1.1942174732872504</v>
      </c>
      <c r="H9" s="59">
        <v>0.87866108786610642</v>
      </c>
      <c r="I9" s="74">
        <v>0.62893081761007363</v>
      </c>
      <c r="K9" s="23" t="s">
        <v>15</v>
      </c>
      <c r="L9" s="74">
        <v>0.15548138488251445</v>
      </c>
    </row>
    <row r="10" spans="2:12" x14ac:dyDescent="0.25">
      <c r="B10" s="23" t="s">
        <v>273</v>
      </c>
      <c r="C10">
        <v>2021</v>
      </c>
      <c r="D10" s="59">
        <v>2.6730036049766088</v>
      </c>
      <c r="E10" s="59">
        <v>0</v>
      </c>
      <c r="F10" s="59">
        <v>0</v>
      </c>
      <c r="G10" s="59">
        <v>4.1407867494833432E-2</v>
      </c>
      <c r="H10" s="59">
        <v>0</v>
      </c>
      <c r="I10" s="74">
        <v>-7.716049382709032E-3</v>
      </c>
      <c r="K10" s="23" t="s">
        <v>16</v>
      </c>
      <c r="L10" s="74">
        <v>-0.10505199459327098</v>
      </c>
    </row>
    <row r="11" spans="2:12" x14ac:dyDescent="0.25">
      <c r="B11" s="23" t="s">
        <v>274</v>
      </c>
      <c r="C11">
        <v>2021</v>
      </c>
      <c r="D11" s="59">
        <v>4.2603472883318467</v>
      </c>
      <c r="E11" s="59">
        <v>1.5639589169000934</v>
      </c>
      <c r="F11" s="59">
        <v>0.31233732431025213</v>
      </c>
      <c r="G11" s="59">
        <v>0.64155629139072134</v>
      </c>
      <c r="H11" s="59">
        <v>0.82953131480712228</v>
      </c>
      <c r="I11" s="74">
        <v>0.4784319777760489</v>
      </c>
      <c r="K11" s="23" t="s">
        <v>216</v>
      </c>
      <c r="L11" s="74">
        <v>0.10244835675443902</v>
      </c>
    </row>
    <row r="12" spans="2:12" x14ac:dyDescent="0.25">
      <c r="B12" s="23" t="s">
        <v>275</v>
      </c>
      <c r="C12">
        <v>2021</v>
      </c>
      <c r="D12" s="59">
        <v>9.6527226180629295</v>
      </c>
      <c r="E12" s="59">
        <v>0.85497586761663569</v>
      </c>
      <c r="F12" s="59">
        <v>0.10378827192528131</v>
      </c>
      <c r="G12" s="59">
        <v>0.84310096648160038</v>
      </c>
      <c r="H12" s="59">
        <v>0.24681201151791496</v>
      </c>
      <c r="I12" s="74">
        <v>0.3455955763766399</v>
      </c>
      <c r="K12" s="23" t="s">
        <v>20</v>
      </c>
      <c r="L12" s="74">
        <v>0.16590361793377353</v>
      </c>
    </row>
    <row r="13" spans="2:12" ht="13" thickBot="1" x14ac:dyDescent="0.3">
      <c r="B13" s="23" t="s">
        <v>276</v>
      </c>
      <c r="C13">
        <v>2021</v>
      </c>
      <c r="D13" s="59">
        <v>3.4954745623671108</v>
      </c>
      <c r="E13" s="59">
        <v>-0.60161341780227973</v>
      </c>
      <c r="F13" s="59">
        <v>-0.25920165889061691</v>
      </c>
      <c r="G13" s="59">
        <v>0.77487765089720584</v>
      </c>
      <c r="H13" s="59">
        <v>6.1551087402534774E-2</v>
      </c>
      <c r="I13" s="74">
        <v>0.32909842338894491</v>
      </c>
      <c r="K13" s="65" t="s">
        <v>28</v>
      </c>
      <c r="L13" s="76">
        <v>3.6218705796826477E-2</v>
      </c>
    </row>
    <row r="14" spans="2:12" x14ac:dyDescent="0.25">
      <c r="B14" s="23" t="s">
        <v>277</v>
      </c>
      <c r="C14">
        <v>2022</v>
      </c>
      <c r="D14" s="59">
        <v>6.0184724057001739</v>
      </c>
      <c r="E14" s="59">
        <v>-0.76573891512679504</v>
      </c>
      <c r="F14" s="59">
        <v>-0.10395010395011281</v>
      </c>
      <c r="G14" s="59">
        <v>0.9915014164306134</v>
      </c>
      <c r="H14" s="59">
        <v>0.43059257740413487</v>
      </c>
      <c r="I14" s="74">
        <v>0.35853230604926523</v>
      </c>
    </row>
    <row r="15" spans="2:12" x14ac:dyDescent="0.25">
      <c r="B15" s="23" t="s">
        <v>278</v>
      </c>
      <c r="C15">
        <v>2022</v>
      </c>
      <c r="D15" s="59">
        <v>0.86385887276800455</v>
      </c>
      <c r="E15" s="59">
        <v>-0.13861935126141509</v>
      </c>
      <c r="F15" s="59">
        <v>0.31217481789803475</v>
      </c>
      <c r="G15" s="59">
        <v>0.74133440192347133</v>
      </c>
      <c r="H15" s="59">
        <v>0.65332788893426819</v>
      </c>
      <c r="I15" s="74">
        <v>0.49407114624505932</v>
      </c>
    </row>
    <row r="16" spans="2:12" x14ac:dyDescent="0.25">
      <c r="B16" s="23" t="s">
        <v>256</v>
      </c>
      <c r="C16">
        <v>2022</v>
      </c>
      <c r="D16" s="59">
        <v>29.491115251428372</v>
      </c>
      <c r="E16" s="59">
        <v>1.0642235794928743</v>
      </c>
      <c r="F16" s="59">
        <v>0.46680497925310022</v>
      </c>
      <c r="G16" s="59">
        <v>0.99443118536196151</v>
      </c>
      <c r="H16" s="59">
        <v>0.46653144016227416</v>
      </c>
      <c r="I16" s="74">
        <v>0.67317146963165353</v>
      </c>
    </row>
    <row r="17" spans="2:9" x14ac:dyDescent="0.25">
      <c r="B17" s="23" t="s">
        <v>268</v>
      </c>
      <c r="C17">
        <v>2022</v>
      </c>
      <c r="D17" s="59">
        <v>13.75197089512319</v>
      </c>
      <c r="E17" s="59">
        <v>1.3780789305008656</v>
      </c>
      <c r="F17" s="59">
        <v>0.10325245224574965</v>
      </c>
      <c r="G17" s="59">
        <v>1.0634107916502629</v>
      </c>
      <c r="H17" s="59">
        <v>1.5949929335756059</v>
      </c>
      <c r="I17" s="74">
        <v>1.006761833208121</v>
      </c>
    </row>
    <row r="18" spans="2:9" x14ac:dyDescent="0.25">
      <c r="B18" s="23" t="s">
        <v>269</v>
      </c>
      <c r="C18">
        <v>2022</v>
      </c>
      <c r="D18" s="59">
        <v>-7.1168007338488062</v>
      </c>
      <c r="E18" s="59">
        <v>1.1109605744479232</v>
      </c>
      <c r="F18" s="59">
        <v>0.10314595152139691</v>
      </c>
      <c r="G18" s="59">
        <v>1.05222135619641</v>
      </c>
      <c r="H18" s="59">
        <v>0.81478537360890746</v>
      </c>
      <c r="I18" s="74">
        <v>0.3719131210949122</v>
      </c>
    </row>
    <row r="19" spans="2:9" x14ac:dyDescent="0.25">
      <c r="B19" s="23" t="s">
        <v>270</v>
      </c>
      <c r="C19">
        <v>2022</v>
      </c>
      <c r="D19" s="59">
        <v>1.8924595400190221</v>
      </c>
      <c r="E19" s="59">
        <v>1.0272901871454525</v>
      </c>
      <c r="F19" s="59">
        <v>0.10303967027306392</v>
      </c>
      <c r="G19" s="59">
        <v>0.8484381025838752</v>
      </c>
      <c r="H19" s="59">
        <v>0.37453183520599925</v>
      </c>
      <c r="I19" s="74">
        <v>0.23714243367421206</v>
      </c>
    </row>
    <row r="20" spans="2:9" x14ac:dyDescent="0.25">
      <c r="B20" s="23" t="s">
        <v>271</v>
      </c>
      <c r="C20">
        <v>2022</v>
      </c>
      <c r="D20" s="59">
        <v>5.6258884257037538</v>
      </c>
      <c r="E20" s="59">
        <v>0.19452672531942572</v>
      </c>
      <c r="F20" s="59">
        <v>0.15440041173442251</v>
      </c>
      <c r="G20" s="59">
        <v>0.74569789674953946</v>
      </c>
      <c r="H20" s="59">
        <v>1.0997643362136507</v>
      </c>
      <c r="I20" s="74">
        <v>0.62102617181724762</v>
      </c>
    </row>
    <row r="21" spans="2:9" x14ac:dyDescent="0.25">
      <c r="B21" s="23" t="s">
        <v>272</v>
      </c>
      <c r="C21">
        <v>2022</v>
      </c>
      <c r="D21" s="59">
        <v>-18.786114266372987</v>
      </c>
      <c r="E21" s="59">
        <v>0.12796187618585758</v>
      </c>
      <c r="F21" s="59">
        <v>0.20554984583761854</v>
      </c>
      <c r="G21" s="59">
        <v>0.72119946858985651</v>
      </c>
      <c r="H21" s="59">
        <v>0.29137529137529139</v>
      </c>
      <c r="I21" s="74">
        <v>0.46289493019839695</v>
      </c>
    </row>
    <row r="22" spans="2:9" x14ac:dyDescent="0.25">
      <c r="B22" s="23" t="s">
        <v>273</v>
      </c>
      <c r="C22">
        <v>2022</v>
      </c>
      <c r="D22" s="59">
        <v>-8.9985809751189478</v>
      </c>
      <c r="E22" s="59">
        <v>0.51560021152828384</v>
      </c>
      <c r="F22" s="59">
        <v>0.46153846153846445</v>
      </c>
      <c r="G22" s="59">
        <v>0.82909364989635892</v>
      </c>
      <c r="H22" s="59">
        <v>0.42610885144296834</v>
      </c>
      <c r="I22" s="74">
        <v>0.36568419512906986</v>
      </c>
    </row>
    <row r="23" spans="2:9" x14ac:dyDescent="0.25">
      <c r="B23" s="23" t="s">
        <v>274</v>
      </c>
      <c r="C23">
        <v>2022</v>
      </c>
      <c r="D23" s="59">
        <v>4.2420552665956484</v>
      </c>
      <c r="E23" s="59">
        <v>0.7190144241308295</v>
      </c>
      <c r="F23" s="59">
        <v>0.20418580908627143</v>
      </c>
      <c r="G23" s="59">
        <v>0.57933096617455104</v>
      </c>
      <c r="H23" s="59">
        <v>0.69431051108968622</v>
      </c>
      <c r="I23" s="74">
        <v>0.40807403628945105</v>
      </c>
    </row>
    <row r="24" spans="2:9" x14ac:dyDescent="0.25">
      <c r="B24" s="23" t="s">
        <v>275</v>
      </c>
      <c r="C24">
        <v>2022</v>
      </c>
      <c r="D24" s="59">
        <v>1.0730180621608105</v>
      </c>
      <c r="E24" s="59">
        <v>-2.1764680276846731E-2</v>
      </c>
      <c r="F24" s="59">
        <v>0.305654610290369</v>
      </c>
      <c r="G24" s="59">
        <v>0.59457450761797315</v>
      </c>
      <c r="H24" s="59">
        <v>0.45968205324650013</v>
      </c>
      <c r="I24" s="74">
        <v>0.38464329777196848</v>
      </c>
    </row>
    <row r="25" spans="2:9" x14ac:dyDescent="0.25">
      <c r="B25" s="23" t="s">
        <v>276</v>
      </c>
      <c r="C25">
        <v>2022</v>
      </c>
      <c r="D25" s="59">
        <v>-5.9900220516039413</v>
      </c>
      <c r="E25" s="59">
        <v>-0.58342041100662179</v>
      </c>
      <c r="F25" s="59">
        <v>0.20314880650076469</v>
      </c>
      <c r="G25" s="59">
        <v>0.48023642408570799</v>
      </c>
      <c r="H25" s="59">
        <v>5.7197330791221072E-2</v>
      </c>
      <c r="I25" s="74">
        <v>0.52776171197223498</v>
      </c>
    </row>
    <row r="26" spans="2:9" x14ac:dyDescent="0.25">
      <c r="B26" s="23" t="s">
        <v>277</v>
      </c>
      <c r="C26">
        <v>2023</v>
      </c>
      <c r="D26" s="59">
        <v>-1.9218253085708041</v>
      </c>
      <c r="E26" s="59">
        <v>0.40728737847068963</v>
      </c>
      <c r="F26" s="59">
        <v>0.45615813482005935</v>
      </c>
      <c r="G26" s="59">
        <v>0.42279411764705049</v>
      </c>
      <c r="H26" s="59">
        <v>0.41920731707317943</v>
      </c>
      <c r="I26" s="74">
        <v>0.51779935275079603</v>
      </c>
    </row>
    <row r="27" spans="2:9" x14ac:dyDescent="0.25">
      <c r="B27" s="23" t="s">
        <v>278</v>
      </c>
      <c r="C27">
        <v>2023</v>
      </c>
      <c r="D27" s="59">
        <v>-7.1867834338514847</v>
      </c>
      <c r="E27" s="59">
        <v>-0.59318707201116194</v>
      </c>
      <c r="F27" s="59">
        <v>0.65590312815338625</v>
      </c>
      <c r="G27" s="59">
        <v>0.67728354384038914</v>
      </c>
      <c r="H27" s="59">
        <v>0.53130929791270487</v>
      </c>
      <c r="I27" s="74">
        <v>0.76554339271662553</v>
      </c>
    </row>
    <row r="28" spans="2:9" ht="13" thickBot="1" x14ac:dyDescent="0.3">
      <c r="B28" s="65" t="s">
        <v>256</v>
      </c>
      <c r="C28" s="25">
        <v>2023</v>
      </c>
      <c r="D28" s="75">
        <v>4.446733190770507</v>
      </c>
      <c r="E28" s="75">
        <v>4.3876968978943031E-3</v>
      </c>
      <c r="F28" s="75">
        <v>0</v>
      </c>
      <c r="G28" s="75">
        <v>-1.8181818181822317E-2</v>
      </c>
      <c r="H28" s="75">
        <v>-3.7750094375244521E-2</v>
      </c>
      <c r="I28" s="76">
        <v>0</v>
      </c>
    </row>
    <row r="29" spans="2:9" ht="13.5" thickBot="1" x14ac:dyDescent="0.35">
      <c r="B29" s="93" t="s">
        <v>287</v>
      </c>
      <c r="C29" s="94"/>
      <c r="D29" s="94"/>
      <c r="E29" s="69">
        <f>CORREL($D$5:$D$28,E$5:E$28)</f>
        <v>0.15548138488251445</v>
      </c>
      <c r="F29" s="69">
        <f t="shared" ref="F29:I29" si="0">CORREL($D$5:$D$28,F$5:F$28)</f>
        <v>-0.10505199459327098</v>
      </c>
      <c r="G29" s="69">
        <f t="shared" si="0"/>
        <v>0.10244835675443902</v>
      </c>
      <c r="H29" s="69">
        <f t="shared" si="0"/>
        <v>0.16590361793377353</v>
      </c>
      <c r="I29" s="4">
        <f t="shared" si="0"/>
        <v>3.6218705796826477E-2</v>
      </c>
    </row>
    <row r="30" spans="2:9" ht="13" thickBot="1" x14ac:dyDescent="0.3"/>
    <row r="31" spans="2:9" ht="13.5" thickBot="1" x14ac:dyDescent="0.35">
      <c r="B31" s="93" t="s">
        <v>290</v>
      </c>
      <c r="C31" s="94"/>
      <c r="D31" s="94"/>
      <c r="E31" s="71" t="s">
        <v>15</v>
      </c>
      <c r="F31" s="71" t="s">
        <v>16</v>
      </c>
      <c r="G31" s="71" t="s">
        <v>216</v>
      </c>
      <c r="H31" s="72" t="s">
        <v>20</v>
      </c>
      <c r="I31" s="73" t="s">
        <v>28</v>
      </c>
    </row>
    <row r="32" spans="2:9" ht="13.5" thickBot="1" x14ac:dyDescent="0.35">
      <c r="B32" s="93" t="s">
        <v>287</v>
      </c>
      <c r="C32" s="94"/>
      <c r="D32" s="94"/>
      <c r="E32" s="69">
        <f>CORREL($D$5:$D$28,E$5:E$28)</f>
        <v>0.15548138488251445</v>
      </c>
      <c r="F32" s="69">
        <f t="shared" ref="F32:I32" si="1">CORREL($D$5:$D$28,F$5:F$28)</f>
        <v>-0.10505199459327098</v>
      </c>
      <c r="G32" s="69">
        <f t="shared" si="1"/>
        <v>0.10244835675443902</v>
      </c>
      <c r="H32" s="69">
        <f t="shared" si="1"/>
        <v>0.16590361793377353</v>
      </c>
      <c r="I32" s="4">
        <f t="shared" si="1"/>
        <v>3.6218705796826477E-2</v>
      </c>
    </row>
    <row r="35" spans="14:14" ht="13" x14ac:dyDescent="0.3">
      <c r="N35" s="29" t="s">
        <v>221</v>
      </c>
    </row>
    <row r="36" spans="14:14" ht="13" x14ac:dyDescent="0.3">
      <c r="N36" s="19" t="s">
        <v>291</v>
      </c>
    </row>
    <row r="37" spans="14:14" ht="13" x14ac:dyDescent="0.3">
      <c r="N37" s="19" t="s">
        <v>292</v>
      </c>
    </row>
    <row r="38" spans="14:14" ht="13" x14ac:dyDescent="0.3">
      <c r="N38" s="19" t="s">
        <v>293</v>
      </c>
    </row>
    <row r="39" spans="14:14" ht="13" x14ac:dyDescent="0.3">
      <c r="N39" s="19" t="s">
        <v>294</v>
      </c>
    </row>
  </sheetData>
  <mergeCells count="4">
    <mergeCell ref="B1:D1"/>
    <mergeCell ref="B29:D29"/>
    <mergeCell ref="B32:D32"/>
    <mergeCell ref="B31:D3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71BDB-3404-4311-9996-7522E293B547}">
  <dimension ref="A1:C25"/>
  <sheetViews>
    <sheetView topLeftCell="J6" workbookViewId="0">
      <selection activeCell="E20" sqref="E20"/>
    </sheetView>
  </sheetViews>
  <sheetFormatPr defaultRowHeight="12.5" x14ac:dyDescent="0.25"/>
  <cols>
    <col min="1" max="1" width="18.26953125" bestFit="1" customWidth="1"/>
    <col min="2" max="2" width="7.90625" bestFit="1" customWidth="1"/>
    <col min="3" max="3" width="13.453125" bestFit="1" customWidth="1"/>
  </cols>
  <sheetData>
    <row r="1" spans="1:3" x14ac:dyDescent="0.25">
      <c r="A1" t="s">
        <v>265</v>
      </c>
      <c r="B1" t="s">
        <v>266</v>
      </c>
      <c r="C1" t="s">
        <v>267</v>
      </c>
    </row>
    <row r="2" spans="1:3" x14ac:dyDescent="0.25">
      <c r="A2" t="s">
        <v>268</v>
      </c>
      <c r="B2">
        <v>2021</v>
      </c>
      <c r="C2">
        <v>63309.498622749867</v>
      </c>
    </row>
    <row r="3" spans="1:3" x14ac:dyDescent="0.25">
      <c r="A3" t="s">
        <v>269</v>
      </c>
      <c r="B3">
        <v>2021</v>
      </c>
      <c r="C3">
        <v>60800.383481587211</v>
      </c>
    </row>
    <row r="4" spans="1:3" x14ac:dyDescent="0.25">
      <c r="A4" t="s">
        <v>270</v>
      </c>
      <c r="B4">
        <v>2021</v>
      </c>
      <c r="C4">
        <v>61073.298999169296</v>
      </c>
    </row>
    <row r="5" spans="1:3" x14ac:dyDescent="0.25">
      <c r="A5" t="s">
        <v>271</v>
      </c>
      <c r="B5">
        <v>2021</v>
      </c>
      <c r="C5">
        <v>59460.950438057756</v>
      </c>
    </row>
    <row r="6" spans="1:3" x14ac:dyDescent="0.25">
      <c r="A6" t="s">
        <v>272</v>
      </c>
      <c r="B6">
        <v>2021</v>
      </c>
      <c r="C6">
        <v>67310.659830633638</v>
      </c>
    </row>
    <row r="7" spans="1:3" x14ac:dyDescent="0.25">
      <c r="A7" t="s">
        <v>273</v>
      </c>
      <c r="B7">
        <v>2021</v>
      </c>
      <c r="C7">
        <v>69109.876194440018</v>
      </c>
    </row>
    <row r="8" spans="1:3" x14ac:dyDescent="0.25">
      <c r="A8" t="s">
        <v>274</v>
      </c>
      <c r="B8">
        <v>2021</v>
      </c>
      <c r="C8">
        <v>72054.19693085934</v>
      </c>
    </row>
    <row r="9" spans="1:3" x14ac:dyDescent="0.25">
      <c r="A9" t="s">
        <v>275</v>
      </c>
      <c r="B9">
        <v>2021</v>
      </c>
      <c r="C9">
        <v>79009.388695268004</v>
      </c>
    </row>
    <row r="10" spans="1:3" x14ac:dyDescent="0.25">
      <c r="A10" t="s">
        <v>276</v>
      </c>
      <c r="B10">
        <v>2021</v>
      </c>
      <c r="C10">
        <v>81771.141778992853</v>
      </c>
    </row>
    <row r="11" spans="1:3" x14ac:dyDescent="0.25">
      <c r="A11" t="s">
        <v>277</v>
      </c>
      <c r="B11">
        <v>2022</v>
      </c>
      <c r="C11">
        <v>86692.515382787504</v>
      </c>
    </row>
    <row r="12" spans="1:3" x14ac:dyDescent="0.25">
      <c r="A12" t="s">
        <v>278</v>
      </c>
      <c r="B12">
        <v>2022</v>
      </c>
      <c r="C12">
        <v>87441.416368947481</v>
      </c>
    </row>
    <row r="13" spans="1:3" x14ac:dyDescent="0.25">
      <c r="A13" t="s">
        <v>256</v>
      </c>
      <c r="B13">
        <v>2022</v>
      </c>
      <c r="C13">
        <v>113228.86524779514</v>
      </c>
    </row>
    <row r="14" spans="1:3" x14ac:dyDescent="0.25">
      <c r="A14" t="s">
        <v>268</v>
      </c>
      <c r="B14">
        <v>2022</v>
      </c>
      <c r="C14">
        <v>128800.06584155018</v>
      </c>
    </row>
    <row r="15" spans="1:3" x14ac:dyDescent="0.25">
      <c r="A15" t="s">
        <v>269</v>
      </c>
      <c r="B15">
        <v>2022</v>
      </c>
      <c r="C15">
        <v>119633.62181054099</v>
      </c>
    </row>
    <row r="16" spans="1:3" x14ac:dyDescent="0.25">
      <c r="A16" t="s">
        <v>270</v>
      </c>
      <c r="B16">
        <v>2022</v>
      </c>
      <c r="C16">
        <v>121897.63969956485</v>
      </c>
    </row>
    <row r="17" spans="1:3" x14ac:dyDescent="0.25">
      <c r="A17" t="s">
        <v>271</v>
      </c>
      <c r="B17">
        <v>2022</v>
      </c>
      <c r="C17">
        <v>128755.46490262874</v>
      </c>
    </row>
    <row r="18" spans="1:3" x14ac:dyDescent="0.25">
      <c r="A18" t="s">
        <v>272</v>
      </c>
      <c r="B18">
        <v>2022</v>
      </c>
      <c r="C18">
        <v>104567.31614182114</v>
      </c>
    </row>
    <row r="19" spans="1:3" x14ac:dyDescent="0.25">
      <c r="A19" t="s">
        <v>273</v>
      </c>
      <c r="B19">
        <v>2022</v>
      </c>
      <c r="C19">
        <v>95157.741525290738</v>
      </c>
    </row>
    <row r="20" spans="1:3" x14ac:dyDescent="0.25">
      <c r="A20" t="s">
        <v>274</v>
      </c>
      <c r="B20">
        <v>2022</v>
      </c>
      <c r="C20">
        <v>99194.385511237808</v>
      </c>
    </row>
    <row r="21" spans="1:3" x14ac:dyDescent="0.25">
      <c r="A21" t="s">
        <v>275</v>
      </c>
      <c r="B21">
        <v>2022</v>
      </c>
      <c r="C21">
        <v>100258.75918442282</v>
      </c>
    </row>
    <row r="22" spans="1:3" x14ac:dyDescent="0.25">
      <c r="A22" t="s">
        <v>276</v>
      </c>
      <c r="B22">
        <v>2022</v>
      </c>
      <c r="C22">
        <v>94253.237400611397</v>
      </c>
    </row>
    <row r="23" spans="1:3" x14ac:dyDescent="0.25">
      <c r="A23" t="s">
        <v>277</v>
      </c>
      <c r="B23">
        <v>2023</v>
      </c>
      <c r="C23">
        <v>92441.854830099124</v>
      </c>
    </row>
    <row r="24" spans="1:3" x14ac:dyDescent="0.25">
      <c r="A24" t="s">
        <v>278</v>
      </c>
      <c r="B24">
        <v>2023</v>
      </c>
      <c r="C24">
        <v>85798.258921224522</v>
      </c>
    </row>
    <row r="25" spans="1:3" x14ac:dyDescent="0.25">
      <c r="A25" t="s">
        <v>256</v>
      </c>
      <c r="B25">
        <v>2023</v>
      </c>
      <c r="C25">
        <v>89613.478577777831</v>
      </c>
    </row>
  </sheetData>
  <sheetProtection algorithmName="SHA-512" hashValue="PiC5UXolc1OZxZy2U1zVeOwFQZcT27pYBO2u9Sq0HO4z3pPNhgLxolM0Wo8wt12r9dEgjcscfGkc+94WD3eO3A==" saltValue="VBrvSgxZ1on8dhGBdxvgDQ==" spinCount="100000" sheet="1" objects="1" scenarios="1"/>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54FF-775E-4D34-B996-2B65E718B5B6}">
  <dimension ref="A1:L56"/>
  <sheetViews>
    <sheetView showGridLines="0" zoomScale="69" workbookViewId="0">
      <selection activeCell="G48" sqref="G48"/>
    </sheetView>
  </sheetViews>
  <sheetFormatPr defaultRowHeight="13" x14ac:dyDescent="0.3"/>
  <cols>
    <col min="1" max="1" width="17.81640625" customWidth="1"/>
    <col min="3" max="3" width="20.08984375" customWidth="1"/>
    <col min="4" max="4" width="12.81640625" style="19" customWidth="1"/>
    <col min="5" max="5" width="26.90625" customWidth="1"/>
    <col min="6" max="6" width="19.54296875" style="19" customWidth="1"/>
    <col min="7" max="7" width="27.26953125" customWidth="1"/>
    <col min="8" max="8" width="27.26953125" style="19" customWidth="1"/>
    <col min="9" max="9" width="21.453125" customWidth="1"/>
    <col min="10" max="10" width="21.453125" style="19" customWidth="1"/>
    <col min="11" max="11" width="16.08984375" customWidth="1"/>
    <col min="12" max="12" width="21.54296875" style="19" customWidth="1"/>
  </cols>
  <sheetData>
    <row r="1" spans="1:12" s="58" customFormat="1" x14ac:dyDescent="0.3">
      <c r="A1" s="46" t="s">
        <v>285</v>
      </c>
      <c r="B1" s="49" t="s">
        <v>266</v>
      </c>
      <c r="C1" s="48" t="s">
        <v>15</v>
      </c>
      <c r="D1" s="48" t="s">
        <v>280</v>
      </c>
      <c r="E1" s="48" t="s">
        <v>16</v>
      </c>
      <c r="F1" s="48" t="s">
        <v>284</v>
      </c>
      <c r="G1" s="48" t="s">
        <v>216</v>
      </c>
      <c r="H1" s="48" t="s">
        <v>281</v>
      </c>
      <c r="I1" s="48" t="s">
        <v>20</v>
      </c>
      <c r="J1" s="48" t="s">
        <v>282</v>
      </c>
      <c r="K1" s="48" t="s">
        <v>28</v>
      </c>
      <c r="L1" s="57" t="s">
        <v>283</v>
      </c>
    </row>
    <row r="2" spans="1:12" s="58" customFormat="1" x14ac:dyDescent="0.3">
      <c r="A2" s="60" t="s">
        <v>256</v>
      </c>
      <c r="B2" s="61">
        <v>2021</v>
      </c>
      <c r="C2" s="1">
        <v>2039.3999999999999</v>
      </c>
      <c r="E2" s="1">
        <v>188.1</v>
      </c>
      <c r="G2" s="1">
        <v>462.10000000000008</v>
      </c>
      <c r="I2" s="1">
        <v>466.59999999999997</v>
      </c>
      <c r="K2" s="1">
        <v>1250.1999999999998</v>
      </c>
      <c r="L2" s="62"/>
    </row>
    <row r="3" spans="1:12" x14ac:dyDescent="0.3">
      <c r="A3" s="23" t="s">
        <v>268</v>
      </c>
      <c r="B3">
        <v>2021</v>
      </c>
      <c r="C3" s="1">
        <v>2064.1</v>
      </c>
      <c r="D3" s="63">
        <f>($C3-$C2)/$C2*100</f>
        <v>1.2111405315288835</v>
      </c>
      <c r="E3" s="1">
        <v>188.8</v>
      </c>
      <c r="F3" s="63">
        <f>($E3-$E2)/$E2*100</f>
        <v>0.37214247740564438</v>
      </c>
      <c r="G3" s="1">
        <v>464.6</v>
      </c>
      <c r="H3" s="63">
        <f>($G3-$G2)/$G2*100</f>
        <v>0.54100843973164736</v>
      </c>
      <c r="I3" s="1">
        <v>468.8</v>
      </c>
      <c r="J3" s="63">
        <f>($I3-$I2)/$I2*100</f>
        <v>0.47149592798972262</v>
      </c>
      <c r="K3" s="1">
        <v>1254.8000000000002</v>
      </c>
      <c r="L3" s="64">
        <f>($K3-$K2)/$K2*100</f>
        <v>0.36794112941932205</v>
      </c>
    </row>
    <row r="4" spans="1:12" x14ac:dyDescent="0.3">
      <c r="A4" s="23" t="s">
        <v>269</v>
      </c>
      <c r="B4">
        <v>2021</v>
      </c>
      <c r="C4" s="1">
        <v>2105.7000000000003</v>
      </c>
      <c r="D4" s="63">
        <f t="shared" ref="D4:D26" si="0">($C4-$C3)/$C3*100</f>
        <v>2.0154062303183164</v>
      </c>
      <c r="E4" s="1">
        <v>191.9</v>
      </c>
      <c r="F4" s="63">
        <f t="shared" ref="F4:F26" si="1">($E4-$E3)/$E3*100</f>
        <v>1.6419491525423699</v>
      </c>
      <c r="G4" s="1">
        <v>474.29999999999995</v>
      </c>
      <c r="H4" s="63">
        <f t="shared" ref="H4:H26" si="2">($G4-$G3)/$G3*100</f>
        <v>2.0878174773998994</v>
      </c>
      <c r="I4" s="1">
        <v>475.7</v>
      </c>
      <c r="J4" s="63">
        <f t="shared" ref="J4:J26" si="3">($I4-$I3)/$I3*100</f>
        <v>1.4718430034129644</v>
      </c>
      <c r="K4" s="1">
        <v>1274.0999999999999</v>
      </c>
      <c r="L4" s="64">
        <f t="shared" ref="L4:L26" si="4">($K4-$K3)/$K3*100</f>
        <v>1.5380937201147373</v>
      </c>
    </row>
    <row r="5" spans="1:12" x14ac:dyDescent="0.3">
      <c r="A5" s="23" t="s">
        <v>270</v>
      </c>
      <c r="B5">
        <v>2021</v>
      </c>
      <c r="C5" s="1">
        <v>2133.9</v>
      </c>
      <c r="D5" s="63">
        <f t="shared" si="0"/>
        <v>1.3392221114118732</v>
      </c>
      <c r="E5" s="1">
        <v>190.8</v>
      </c>
      <c r="F5" s="63">
        <f t="shared" si="1"/>
        <v>-0.57321521625846494</v>
      </c>
      <c r="G5" s="1">
        <v>474.7</v>
      </c>
      <c r="H5" s="63">
        <f t="shared" si="2"/>
        <v>8.43348091925014E-2</v>
      </c>
      <c r="I5" s="1">
        <v>475.1</v>
      </c>
      <c r="J5" s="63">
        <f t="shared" si="3"/>
        <v>-0.12612991381121841</v>
      </c>
      <c r="K5" s="1">
        <v>1278</v>
      </c>
      <c r="L5" s="64">
        <f t="shared" si="4"/>
        <v>0.30609842241583007</v>
      </c>
    </row>
    <row r="6" spans="1:12" x14ac:dyDescent="0.3">
      <c r="A6" s="23" t="s">
        <v>271</v>
      </c>
      <c r="B6">
        <v>2021</v>
      </c>
      <c r="C6" s="1">
        <v>2147</v>
      </c>
      <c r="D6" s="63">
        <f t="shared" si="0"/>
        <v>0.61389943296311489</v>
      </c>
      <c r="E6" s="1">
        <v>191.2</v>
      </c>
      <c r="F6" s="63">
        <f t="shared" si="1"/>
        <v>0.20964360587000905</v>
      </c>
      <c r="G6" s="1">
        <v>477.29999999999995</v>
      </c>
      <c r="H6" s="63">
        <f t="shared" si="2"/>
        <v>0.54771434590266821</v>
      </c>
      <c r="I6" s="1">
        <v>478</v>
      </c>
      <c r="J6" s="63">
        <f t="shared" si="3"/>
        <v>0.61039781098715573</v>
      </c>
      <c r="K6" s="1">
        <v>1287.8999999999999</v>
      </c>
      <c r="L6" s="64">
        <f t="shared" si="4"/>
        <v>0.77464788732393297</v>
      </c>
    </row>
    <row r="7" spans="1:12" x14ac:dyDescent="0.3">
      <c r="A7" s="23" t="s">
        <v>272</v>
      </c>
      <c r="B7">
        <v>2021</v>
      </c>
      <c r="C7" s="1">
        <v>2142</v>
      </c>
      <c r="D7" s="63">
        <f t="shared" si="0"/>
        <v>-0.2328830926874709</v>
      </c>
      <c r="E7" s="1">
        <v>192.1</v>
      </c>
      <c r="F7" s="63">
        <f t="shared" si="1"/>
        <v>0.47071129707113268</v>
      </c>
      <c r="G7" s="1">
        <v>483</v>
      </c>
      <c r="H7" s="63">
        <f t="shared" si="2"/>
        <v>1.1942174732872504</v>
      </c>
      <c r="I7" s="1">
        <v>482.2</v>
      </c>
      <c r="J7" s="63">
        <f t="shared" si="3"/>
        <v>0.87866108786610642</v>
      </c>
      <c r="K7" s="1">
        <v>1296</v>
      </c>
      <c r="L7" s="64">
        <f t="shared" si="4"/>
        <v>0.62893081761007363</v>
      </c>
    </row>
    <row r="8" spans="1:12" x14ac:dyDescent="0.3">
      <c r="A8" s="23" t="s">
        <v>273</v>
      </c>
      <c r="B8">
        <v>2021</v>
      </c>
      <c r="C8" s="1">
        <v>2142</v>
      </c>
      <c r="D8" s="63">
        <f t="shared" si="0"/>
        <v>0</v>
      </c>
      <c r="E8" s="1">
        <v>192.1</v>
      </c>
      <c r="F8" s="63">
        <f t="shared" si="1"/>
        <v>0</v>
      </c>
      <c r="G8" s="1">
        <v>483.20000000000005</v>
      </c>
      <c r="H8" s="63">
        <f t="shared" si="2"/>
        <v>4.1407867494833432E-2</v>
      </c>
      <c r="I8" s="1">
        <v>482.2</v>
      </c>
      <c r="J8" s="63">
        <f t="shared" si="3"/>
        <v>0</v>
      </c>
      <c r="K8" s="1">
        <v>1295.9000000000001</v>
      </c>
      <c r="L8" s="64">
        <f t="shared" si="4"/>
        <v>-7.716049382709032E-3</v>
      </c>
    </row>
    <row r="9" spans="1:12" x14ac:dyDescent="0.3">
      <c r="A9" s="23" t="s">
        <v>274</v>
      </c>
      <c r="B9">
        <v>2021</v>
      </c>
      <c r="C9" s="1">
        <v>2175.5</v>
      </c>
      <c r="D9" s="63">
        <f t="shared" si="0"/>
        <v>1.5639589169000934</v>
      </c>
      <c r="E9" s="1">
        <v>192.7</v>
      </c>
      <c r="F9" s="63">
        <f t="shared" si="1"/>
        <v>0.31233732431025213</v>
      </c>
      <c r="G9" s="1">
        <v>486.3</v>
      </c>
      <c r="H9" s="63">
        <f t="shared" si="2"/>
        <v>0.64155629139072134</v>
      </c>
      <c r="I9" s="1">
        <v>486.19999999999993</v>
      </c>
      <c r="J9" s="63">
        <f t="shared" si="3"/>
        <v>0.82953131480712228</v>
      </c>
      <c r="K9" s="1">
        <v>1302.0999999999999</v>
      </c>
      <c r="L9" s="64">
        <f t="shared" si="4"/>
        <v>0.4784319777760489</v>
      </c>
    </row>
    <row r="10" spans="1:12" x14ac:dyDescent="0.3">
      <c r="A10" s="23" t="s">
        <v>275</v>
      </c>
      <c r="B10">
        <v>2021</v>
      </c>
      <c r="C10" s="1">
        <v>2194.1</v>
      </c>
      <c r="D10" s="63">
        <f t="shared" si="0"/>
        <v>0.85497586761663569</v>
      </c>
      <c r="E10" s="1">
        <v>192.9</v>
      </c>
      <c r="F10" s="63">
        <f t="shared" si="1"/>
        <v>0.10378827192528131</v>
      </c>
      <c r="G10" s="1">
        <v>490.40000000000003</v>
      </c>
      <c r="H10" s="63">
        <f t="shared" si="2"/>
        <v>0.84310096648160038</v>
      </c>
      <c r="I10" s="1">
        <v>487.40000000000003</v>
      </c>
      <c r="J10" s="63">
        <f t="shared" si="3"/>
        <v>0.24681201151791496</v>
      </c>
      <c r="K10" s="1">
        <v>1306.6000000000001</v>
      </c>
      <c r="L10" s="64">
        <f t="shared" si="4"/>
        <v>0.3455955763766399</v>
      </c>
    </row>
    <row r="11" spans="1:12" x14ac:dyDescent="0.3">
      <c r="A11" s="23" t="s">
        <v>276</v>
      </c>
      <c r="B11">
        <v>2021</v>
      </c>
      <c r="C11" s="1">
        <v>2180.9</v>
      </c>
      <c r="D11" s="63">
        <f t="shared" si="0"/>
        <v>-0.60161341780227973</v>
      </c>
      <c r="E11" s="1">
        <v>192.4</v>
      </c>
      <c r="F11" s="63">
        <f t="shared" si="1"/>
        <v>-0.25920165889061691</v>
      </c>
      <c r="G11" s="1">
        <v>494.19999999999993</v>
      </c>
      <c r="H11" s="63">
        <f t="shared" si="2"/>
        <v>0.77487765089720584</v>
      </c>
      <c r="I11" s="1">
        <v>487.7</v>
      </c>
      <c r="J11" s="63">
        <f t="shared" si="3"/>
        <v>6.1551087402534774E-2</v>
      </c>
      <c r="K11" s="1">
        <v>1310.9</v>
      </c>
      <c r="L11" s="64">
        <f t="shared" si="4"/>
        <v>0.32909842338894491</v>
      </c>
    </row>
    <row r="12" spans="1:12" x14ac:dyDescent="0.3">
      <c r="A12" s="23" t="s">
        <v>277</v>
      </c>
      <c r="B12">
        <v>2022</v>
      </c>
      <c r="C12" s="1">
        <v>2164.1999999999998</v>
      </c>
      <c r="D12" s="63">
        <f t="shared" si="0"/>
        <v>-0.76573891512679504</v>
      </c>
      <c r="E12" s="1">
        <v>192.2</v>
      </c>
      <c r="F12" s="63">
        <f t="shared" si="1"/>
        <v>-0.10395010395011281</v>
      </c>
      <c r="G12" s="1">
        <v>499.1</v>
      </c>
      <c r="H12" s="63">
        <f t="shared" si="2"/>
        <v>0.9915014164306134</v>
      </c>
      <c r="I12" s="1">
        <v>489.79999999999995</v>
      </c>
      <c r="J12" s="63">
        <f t="shared" si="3"/>
        <v>0.43059257740413487</v>
      </c>
      <c r="K12" s="1">
        <v>1315.6</v>
      </c>
      <c r="L12" s="64">
        <f t="shared" si="4"/>
        <v>0.35853230604926523</v>
      </c>
    </row>
    <row r="13" spans="1:12" x14ac:dyDescent="0.3">
      <c r="A13" s="23" t="s">
        <v>278</v>
      </c>
      <c r="B13">
        <v>2022</v>
      </c>
      <c r="C13" s="1">
        <v>2161.2000000000003</v>
      </c>
      <c r="D13" s="63">
        <f t="shared" si="0"/>
        <v>-0.13861935126141509</v>
      </c>
      <c r="E13" s="1">
        <v>192.8</v>
      </c>
      <c r="F13" s="63">
        <f t="shared" si="1"/>
        <v>0.31217481789803475</v>
      </c>
      <c r="G13" s="1">
        <v>502.80000000000007</v>
      </c>
      <c r="H13" s="63">
        <f t="shared" si="2"/>
        <v>0.74133440192347133</v>
      </c>
      <c r="I13" s="1">
        <v>493</v>
      </c>
      <c r="J13" s="63">
        <f t="shared" si="3"/>
        <v>0.65332788893426819</v>
      </c>
      <c r="K13" s="1">
        <v>1322.1</v>
      </c>
      <c r="L13" s="64">
        <f t="shared" si="4"/>
        <v>0.49407114624505932</v>
      </c>
    </row>
    <row r="14" spans="1:12" x14ac:dyDescent="0.3">
      <c r="A14" s="23" t="s">
        <v>256</v>
      </c>
      <c r="B14">
        <v>2022</v>
      </c>
      <c r="C14" s="1">
        <v>2184.2000000000003</v>
      </c>
      <c r="D14" s="63">
        <f t="shared" si="0"/>
        <v>1.0642235794928743</v>
      </c>
      <c r="E14" s="1">
        <v>193.7</v>
      </c>
      <c r="F14" s="63">
        <f t="shared" si="1"/>
        <v>0.46680497925310022</v>
      </c>
      <c r="G14" s="1">
        <v>507.8</v>
      </c>
      <c r="H14" s="63">
        <f t="shared" si="2"/>
        <v>0.99443118536196151</v>
      </c>
      <c r="I14" s="1">
        <v>495.3</v>
      </c>
      <c r="J14" s="63">
        <f t="shared" si="3"/>
        <v>0.46653144016227416</v>
      </c>
      <c r="K14" s="1">
        <v>1331</v>
      </c>
      <c r="L14" s="64">
        <f t="shared" si="4"/>
        <v>0.67317146963165353</v>
      </c>
    </row>
    <row r="15" spans="1:12" x14ac:dyDescent="0.3">
      <c r="A15" s="23" t="s">
        <v>268</v>
      </c>
      <c r="B15">
        <v>2022</v>
      </c>
      <c r="C15" s="1">
        <v>2214.3000000000002</v>
      </c>
      <c r="D15" s="63">
        <f t="shared" si="0"/>
        <v>1.3780789305008656</v>
      </c>
      <c r="E15" s="1">
        <v>193.9</v>
      </c>
      <c r="F15" s="63">
        <f t="shared" si="1"/>
        <v>0.10325245224574965</v>
      </c>
      <c r="G15" s="1">
        <v>513.20000000000005</v>
      </c>
      <c r="H15" s="63">
        <f t="shared" si="2"/>
        <v>1.0634107916502629</v>
      </c>
      <c r="I15" s="1">
        <v>503.2</v>
      </c>
      <c r="J15" s="63">
        <f t="shared" si="3"/>
        <v>1.5949929335756059</v>
      </c>
      <c r="K15" s="1">
        <v>1344.4</v>
      </c>
      <c r="L15" s="64">
        <f t="shared" si="4"/>
        <v>1.006761833208121</v>
      </c>
    </row>
    <row r="16" spans="1:12" x14ac:dyDescent="0.3">
      <c r="A16" s="23" t="s">
        <v>269</v>
      </c>
      <c r="B16">
        <v>2022</v>
      </c>
      <c r="C16" s="1">
        <v>2238.9000000000005</v>
      </c>
      <c r="D16" s="63">
        <f t="shared" si="0"/>
        <v>1.1109605744479232</v>
      </c>
      <c r="E16" s="1">
        <v>194.1</v>
      </c>
      <c r="F16" s="63">
        <f t="shared" si="1"/>
        <v>0.10314595152139691</v>
      </c>
      <c r="G16" s="1">
        <v>518.6</v>
      </c>
      <c r="H16" s="63">
        <f t="shared" si="2"/>
        <v>1.05222135619641</v>
      </c>
      <c r="I16" s="1">
        <v>507.3</v>
      </c>
      <c r="J16" s="63">
        <f t="shared" si="3"/>
        <v>0.81478537360890746</v>
      </c>
      <c r="K16" s="1">
        <v>1349.4</v>
      </c>
      <c r="L16" s="64">
        <f t="shared" si="4"/>
        <v>0.3719131210949122</v>
      </c>
    </row>
    <row r="17" spans="1:12" x14ac:dyDescent="0.3">
      <c r="A17" s="23" t="s">
        <v>270</v>
      </c>
      <c r="B17">
        <v>2022</v>
      </c>
      <c r="C17" s="1">
        <v>2261.9</v>
      </c>
      <c r="D17" s="63">
        <f t="shared" si="0"/>
        <v>1.0272901871454525</v>
      </c>
      <c r="E17" s="1">
        <v>194.3</v>
      </c>
      <c r="F17" s="63">
        <f t="shared" si="1"/>
        <v>0.10303967027306392</v>
      </c>
      <c r="G17" s="1">
        <v>523</v>
      </c>
      <c r="H17" s="63">
        <f t="shared" si="2"/>
        <v>0.8484381025838752</v>
      </c>
      <c r="I17" s="1">
        <v>509.20000000000005</v>
      </c>
      <c r="J17" s="63">
        <f t="shared" si="3"/>
        <v>0.37453183520599925</v>
      </c>
      <c r="K17" s="1">
        <v>1352.6</v>
      </c>
      <c r="L17" s="64">
        <f t="shared" si="4"/>
        <v>0.23714243367421206</v>
      </c>
    </row>
    <row r="18" spans="1:12" x14ac:dyDescent="0.3">
      <c r="A18" s="23" t="s">
        <v>271</v>
      </c>
      <c r="B18">
        <v>2022</v>
      </c>
      <c r="C18" s="1">
        <v>2266.3000000000002</v>
      </c>
      <c r="D18" s="63">
        <f t="shared" si="0"/>
        <v>0.19452672531942572</v>
      </c>
      <c r="E18" s="1">
        <v>194.6</v>
      </c>
      <c r="F18" s="63">
        <f t="shared" si="1"/>
        <v>0.15440041173442251</v>
      </c>
      <c r="G18" s="1">
        <v>526.90000000000009</v>
      </c>
      <c r="H18" s="63">
        <f t="shared" si="2"/>
        <v>0.74569789674953946</v>
      </c>
      <c r="I18" s="1">
        <v>514.79999999999995</v>
      </c>
      <c r="J18" s="63">
        <f t="shared" si="3"/>
        <v>1.0997643362136507</v>
      </c>
      <c r="K18" s="1">
        <v>1361</v>
      </c>
      <c r="L18" s="64">
        <f t="shared" si="4"/>
        <v>0.62102617181724762</v>
      </c>
    </row>
    <row r="19" spans="1:12" x14ac:dyDescent="0.3">
      <c r="A19" s="23" t="s">
        <v>272</v>
      </c>
      <c r="B19">
        <v>2022</v>
      </c>
      <c r="C19" s="1">
        <v>2269.2000000000003</v>
      </c>
      <c r="D19" s="63">
        <f t="shared" si="0"/>
        <v>0.12796187618585758</v>
      </c>
      <c r="E19" s="1">
        <v>195</v>
      </c>
      <c r="F19" s="63">
        <f t="shared" si="1"/>
        <v>0.20554984583761854</v>
      </c>
      <c r="G19" s="1">
        <v>530.70000000000005</v>
      </c>
      <c r="H19" s="63">
        <f t="shared" si="2"/>
        <v>0.72119946858985651</v>
      </c>
      <c r="I19" s="1">
        <v>516.29999999999995</v>
      </c>
      <c r="J19" s="63">
        <f t="shared" si="3"/>
        <v>0.29137529137529139</v>
      </c>
      <c r="K19" s="1">
        <v>1367.3000000000002</v>
      </c>
      <c r="L19" s="64">
        <f t="shared" si="4"/>
        <v>0.46289493019839695</v>
      </c>
    </row>
    <row r="20" spans="1:12" x14ac:dyDescent="0.3">
      <c r="A20" s="23" t="s">
        <v>273</v>
      </c>
      <c r="B20">
        <v>2022</v>
      </c>
      <c r="C20" s="1">
        <v>2280.9</v>
      </c>
      <c r="D20" s="63">
        <f t="shared" si="0"/>
        <v>0.51560021152828384</v>
      </c>
      <c r="E20" s="1">
        <v>195.9</v>
      </c>
      <c r="F20" s="63">
        <f t="shared" si="1"/>
        <v>0.46153846153846445</v>
      </c>
      <c r="G20" s="1">
        <v>535.1</v>
      </c>
      <c r="H20" s="63">
        <f t="shared" si="2"/>
        <v>0.82909364989635892</v>
      </c>
      <c r="I20" s="1">
        <v>518.5</v>
      </c>
      <c r="J20" s="63">
        <f t="shared" si="3"/>
        <v>0.42610885144296834</v>
      </c>
      <c r="K20" s="1">
        <v>1372.3</v>
      </c>
      <c r="L20" s="64">
        <f t="shared" si="4"/>
        <v>0.36568419512906986</v>
      </c>
    </row>
    <row r="21" spans="1:12" x14ac:dyDescent="0.3">
      <c r="A21" s="23" t="s">
        <v>274</v>
      </c>
      <c r="B21">
        <v>2022</v>
      </c>
      <c r="C21" s="1">
        <v>2297.3000000000002</v>
      </c>
      <c r="D21" s="63">
        <f t="shared" si="0"/>
        <v>0.7190144241308295</v>
      </c>
      <c r="E21" s="1">
        <v>196.3</v>
      </c>
      <c r="F21" s="63">
        <f t="shared" si="1"/>
        <v>0.20418580908627143</v>
      </c>
      <c r="G21" s="1">
        <v>538.20000000000005</v>
      </c>
      <c r="H21" s="63">
        <f t="shared" si="2"/>
        <v>0.57933096617455104</v>
      </c>
      <c r="I21" s="1">
        <v>522.1</v>
      </c>
      <c r="J21" s="63">
        <f t="shared" si="3"/>
        <v>0.69431051108968622</v>
      </c>
      <c r="K21" s="1">
        <v>1377.9</v>
      </c>
      <c r="L21" s="64">
        <f t="shared" si="4"/>
        <v>0.40807403628945105</v>
      </c>
    </row>
    <row r="22" spans="1:12" x14ac:dyDescent="0.3">
      <c r="A22" s="23" t="s">
        <v>275</v>
      </c>
      <c r="B22">
        <v>2022</v>
      </c>
      <c r="C22" s="1">
        <v>2296.8000000000002</v>
      </c>
      <c r="D22" s="63">
        <f t="shared" si="0"/>
        <v>-2.1764680276846731E-2</v>
      </c>
      <c r="E22" s="1">
        <v>196.9</v>
      </c>
      <c r="F22" s="63">
        <f t="shared" si="1"/>
        <v>0.305654610290369</v>
      </c>
      <c r="G22" s="1">
        <v>541.4</v>
      </c>
      <c r="H22" s="63">
        <f t="shared" si="2"/>
        <v>0.59457450761797315</v>
      </c>
      <c r="I22" s="1">
        <v>524.5</v>
      </c>
      <c r="J22" s="63">
        <f t="shared" si="3"/>
        <v>0.45968205324650013</v>
      </c>
      <c r="K22" s="1">
        <v>1383.2</v>
      </c>
      <c r="L22" s="64">
        <f t="shared" si="4"/>
        <v>0.38464329777196848</v>
      </c>
    </row>
    <row r="23" spans="1:12" x14ac:dyDescent="0.3">
      <c r="A23" s="23" t="s">
        <v>276</v>
      </c>
      <c r="B23">
        <v>2022</v>
      </c>
      <c r="C23" s="1">
        <v>2283.4</v>
      </c>
      <c r="D23" s="63">
        <f t="shared" si="0"/>
        <v>-0.58342041100662179</v>
      </c>
      <c r="E23" s="1">
        <v>197.3</v>
      </c>
      <c r="F23" s="63">
        <f t="shared" si="1"/>
        <v>0.20314880650076469</v>
      </c>
      <c r="G23" s="1">
        <v>544</v>
      </c>
      <c r="H23" s="63">
        <f t="shared" si="2"/>
        <v>0.48023642408570799</v>
      </c>
      <c r="I23" s="1">
        <v>524.79999999999995</v>
      </c>
      <c r="J23" s="63">
        <f t="shared" si="3"/>
        <v>5.7197330791221072E-2</v>
      </c>
      <c r="K23" s="1">
        <v>1390.5</v>
      </c>
      <c r="L23" s="64">
        <f t="shared" si="4"/>
        <v>0.52776171197223498</v>
      </c>
    </row>
    <row r="24" spans="1:12" x14ac:dyDescent="0.3">
      <c r="A24" s="23" t="s">
        <v>277</v>
      </c>
      <c r="B24">
        <v>2023</v>
      </c>
      <c r="C24" s="1">
        <v>2292.6999999999998</v>
      </c>
      <c r="D24" s="63">
        <f t="shared" si="0"/>
        <v>0.40728737847068963</v>
      </c>
      <c r="E24" s="1">
        <v>198.2</v>
      </c>
      <c r="F24" s="63">
        <f t="shared" si="1"/>
        <v>0.45615813482005935</v>
      </c>
      <c r="G24" s="1">
        <v>546.29999999999995</v>
      </c>
      <c r="H24" s="63">
        <f t="shared" si="2"/>
        <v>0.42279411764705049</v>
      </c>
      <c r="I24" s="1">
        <v>527</v>
      </c>
      <c r="J24" s="63">
        <f t="shared" si="3"/>
        <v>0.41920731707317943</v>
      </c>
      <c r="K24" s="1">
        <v>1397.6999999999998</v>
      </c>
      <c r="L24" s="64">
        <f t="shared" si="4"/>
        <v>0.51779935275079603</v>
      </c>
    </row>
    <row r="25" spans="1:12" x14ac:dyDescent="0.3">
      <c r="A25" s="23" t="s">
        <v>278</v>
      </c>
      <c r="B25">
        <v>2023</v>
      </c>
      <c r="C25" s="1">
        <v>2279.1</v>
      </c>
      <c r="D25" s="63">
        <f t="shared" si="0"/>
        <v>-0.59318707201116194</v>
      </c>
      <c r="E25" s="1">
        <v>199.5</v>
      </c>
      <c r="F25" s="63">
        <f t="shared" si="1"/>
        <v>0.65590312815338625</v>
      </c>
      <c r="G25" s="1">
        <v>550</v>
      </c>
      <c r="H25" s="63">
        <f t="shared" si="2"/>
        <v>0.67728354384038914</v>
      </c>
      <c r="I25" s="1">
        <v>529.79999999999995</v>
      </c>
      <c r="J25" s="63">
        <f t="shared" si="3"/>
        <v>0.53130929791270487</v>
      </c>
      <c r="K25" s="1">
        <v>1408.4</v>
      </c>
      <c r="L25" s="64">
        <f t="shared" si="4"/>
        <v>0.76554339271662553</v>
      </c>
    </row>
    <row r="26" spans="1:12" ht="13.5" thickBot="1" x14ac:dyDescent="0.35">
      <c r="A26" s="65" t="s">
        <v>256</v>
      </c>
      <c r="B26" s="25">
        <v>2023</v>
      </c>
      <c r="C26" s="54">
        <v>2279.1999999999998</v>
      </c>
      <c r="D26" s="66">
        <f t="shared" si="0"/>
        <v>4.3876968978943031E-3</v>
      </c>
      <c r="E26" s="54">
        <v>199.5</v>
      </c>
      <c r="F26" s="66">
        <f t="shared" si="1"/>
        <v>0</v>
      </c>
      <c r="G26" s="54">
        <v>549.9</v>
      </c>
      <c r="H26" s="66">
        <f t="shared" si="2"/>
        <v>-1.8181818181822317E-2</v>
      </c>
      <c r="I26" s="54">
        <v>529.59999999999991</v>
      </c>
      <c r="J26" s="66">
        <f t="shared" si="3"/>
        <v>-3.7750094375244521E-2</v>
      </c>
      <c r="K26" s="54">
        <v>1408.4</v>
      </c>
      <c r="L26" s="67">
        <f t="shared" si="4"/>
        <v>0</v>
      </c>
    </row>
    <row r="28" spans="1:12" x14ac:dyDescent="0.3">
      <c r="A28" s="85" t="s">
        <v>286</v>
      </c>
      <c r="B28" s="85"/>
    </row>
    <row r="29" spans="1:12" ht="39" x14ac:dyDescent="0.3">
      <c r="A29" s="43" t="s">
        <v>279</v>
      </c>
      <c r="B29" s="43" t="s">
        <v>266</v>
      </c>
      <c r="C29" s="68" t="s">
        <v>15</v>
      </c>
      <c r="D29" s="68" t="s">
        <v>16</v>
      </c>
      <c r="E29" s="68" t="s">
        <v>216</v>
      </c>
      <c r="F29" s="2" t="s">
        <v>20</v>
      </c>
      <c r="G29" s="2" t="s">
        <v>28</v>
      </c>
      <c r="H29" s="43" t="s">
        <v>267</v>
      </c>
      <c r="I29" s="19" t="s">
        <v>288</v>
      </c>
      <c r="J29"/>
      <c r="K29" s="19"/>
      <c r="L29"/>
    </row>
    <row r="30" spans="1:12" x14ac:dyDescent="0.3">
      <c r="A30" t="s">
        <v>268</v>
      </c>
      <c r="B30">
        <v>2021</v>
      </c>
      <c r="C30" s="59">
        <v>1.2111405315288835</v>
      </c>
      <c r="D30" s="59">
        <v>0.37214247740564438</v>
      </c>
      <c r="E30" s="59">
        <v>0.54100843973164736</v>
      </c>
      <c r="F30" s="59">
        <v>0.47149592798972262</v>
      </c>
      <c r="G30" s="59">
        <v>0.36794112941932205</v>
      </c>
      <c r="H30" s="30">
        <v>63309.498622749867</v>
      </c>
      <c r="I30" s="19"/>
      <c r="J30"/>
      <c r="K30" s="19"/>
      <c r="L30"/>
    </row>
    <row r="31" spans="1:12" x14ac:dyDescent="0.3">
      <c r="A31" t="s">
        <v>269</v>
      </c>
      <c r="B31">
        <v>2021</v>
      </c>
      <c r="C31" s="59">
        <v>2.0154062303183164</v>
      </c>
      <c r="D31" s="59">
        <v>1.6419491525423699</v>
      </c>
      <c r="E31" s="59">
        <v>2.0878174773998994</v>
      </c>
      <c r="F31" s="59">
        <v>1.4718430034129644</v>
      </c>
      <c r="G31" s="59">
        <v>1.5380937201147373</v>
      </c>
      <c r="H31" s="30">
        <v>60800.383481587211</v>
      </c>
      <c r="I31" s="19">
        <f>($H31-$H30)/$H30*100</f>
        <v>-3.9632522697960866</v>
      </c>
      <c r="J31"/>
      <c r="K31" s="19"/>
      <c r="L31"/>
    </row>
    <row r="32" spans="1:12" x14ac:dyDescent="0.3">
      <c r="A32" t="s">
        <v>270</v>
      </c>
      <c r="B32">
        <v>2021</v>
      </c>
      <c r="C32" s="59">
        <v>1.3392221114118732</v>
      </c>
      <c r="D32" s="59">
        <v>-0.57321521625846494</v>
      </c>
      <c r="E32" s="59">
        <v>8.43348091925014E-2</v>
      </c>
      <c r="F32" s="59">
        <v>-0.12612991381121841</v>
      </c>
      <c r="G32" s="59">
        <v>0.30609842241583007</v>
      </c>
      <c r="H32" s="30">
        <v>61073.298999169296</v>
      </c>
      <c r="I32" s="19">
        <f t="shared" ref="I32:I53" si="5">($H32-$H31)/$H31*100</f>
        <v>0.44887137539968791</v>
      </c>
      <c r="J32"/>
      <c r="K32" s="19"/>
      <c r="L32"/>
    </row>
    <row r="33" spans="1:12" x14ac:dyDescent="0.3">
      <c r="A33" t="s">
        <v>271</v>
      </c>
      <c r="B33">
        <v>2021</v>
      </c>
      <c r="C33" s="59">
        <v>0.61389943296311489</v>
      </c>
      <c r="D33" s="59">
        <v>0.20964360587000905</v>
      </c>
      <c r="E33" s="59">
        <v>0.54771434590266821</v>
      </c>
      <c r="F33" s="59">
        <v>0.61039781098715573</v>
      </c>
      <c r="G33" s="59">
        <v>0.77464788732393297</v>
      </c>
      <c r="H33" s="30">
        <v>59460.950438057756</v>
      </c>
      <c r="I33" s="19">
        <f t="shared" si="5"/>
        <v>-2.6400220514262216</v>
      </c>
      <c r="J33"/>
      <c r="K33" s="19"/>
      <c r="L33"/>
    </row>
    <row r="34" spans="1:12" x14ac:dyDescent="0.3">
      <c r="A34" t="s">
        <v>272</v>
      </c>
      <c r="B34">
        <v>2021</v>
      </c>
      <c r="C34" s="59">
        <v>-0.2328830926874709</v>
      </c>
      <c r="D34" s="59">
        <v>0.47071129707113268</v>
      </c>
      <c r="E34" s="59">
        <v>1.1942174732872504</v>
      </c>
      <c r="F34" s="59">
        <v>0.87866108786610642</v>
      </c>
      <c r="G34" s="59">
        <v>0.62893081761007363</v>
      </c>
      <c r="H34" s="30">
        <v>67310.659830633638</v>
      </c>
      <c r="I34" s="19">
        <f t="shared" si="5"/>
        <v>13.201452944740865</v>
      </c>
      <c r="J34"/>
      <c r="K34" s="19"/>
      <c r="L34"/>
    </row>
    <row r="35" spans="1:12" x14ac:dyDescent="0.3">
      <c r="A35" t="s">
        <v>273</v>
      </c>
      <c r="B35">
        <v>2021</v>
      </c>
      <c r="C35" s="59">
        <v>0</v>
      </c>
      <c r="D35" s="59">
        <v>0</v>
      </c>
      <c r="E35" s="59">
        <v>4.1407867494833432E-2</v>
      </c>
      <c r="F35" s="59">
        <v>0</v>
      </c>
      <c r="G35" s="59">
        <v>-7.716049382709032E-3</v>
      </c>
      <c r="H35" s="30">
        <v>69109.876194440018</v>
      </c>
      <c r="I35" s="19">
        <f t="shared" si="5"/>
        <v>2.6730036049766088</v>
      </c>
      <c r="J35"/>
      <c r="K35" s="19"/>
      <c r="L35"/>
    </row>
    <row r="36" spans="1:12" x14ac:dyDescent="0.3">
      <c r="A36" t="s">
        <v>274</v>
      </c>
      <c r="B36">
        <v>2021</v>
      </c>
      <c r="C36" s="59">
        <v>1.5639589169000934</v>
      </c>
      <c r="D36" s="59">
        <v>0.31233732431025213</v>
      </c>
      <c r="E36" s="59">
        <v>0.64155629139072134</v>
      </c>
      <c r="F36" s="59">
        <v>0.82953131480712228</v>
      </c>
      <c r="G36" s="59">
        <v>0.4784319777760489</v>
      </c>
      <c r="H36" s="30">
        <v>72054.19693085934</v>
      </c>
      <c r="I36" s="19">
        <f t="shared" si="5"/>
        <v>4.2603472883318467</v>
      </c>
      <c r="J36"/>
      <c r="K36" s="19"/>
      <c r="L36"/>
    </row>
    <row r="37" spans="1:12" x14ac:dyDescent="0.3">
      <c r="A37" t="s">
        <v>275</v>
      </c>
      <c r="B37">
        <v>2021</v>
      </c>
      <c r="C37" s="59">
        <v>0.85497586761663569</v>
      </c>
      <c r="D37" s="59">
        <v>0.10378827192528131</v>
      </c>
      <c r="E37" s="59">
        <v>0.84310096648160038</v>
      </c>
      <c r="F37" s="59">
        <v>0.24681201151791496</v>
      </c>
      <c r="G37" s="59">
        <v>0.3455955763766399</v>
      </c>
      <c r="H37" s="30">
        <v>79009.388695268004</v>
      </c>
      <c r="I37" s="19">
        <f t="shared" si="5"/>
        <v>9.6527226180629295</v>
      </c>
      <c r="J37"/>
      <c r="K37" s="19"/>
      <c r="L37"/>
    </row>
    <row r="38" spans="1:12" x14ac:dyDescent="0.3">
      <c r="A38" t="s">
        <v>276</v>
      </c>
      <c r="B38">
        <v>2021</v>
      </c>
      <c r="C38" s="59">
        <v>-0.60161341780227973</v>
      </c>
      <c r="D38" s="59">
        <v>-0.25920165889061691</v>
      </c>
      <c r="E38" s="59">
        <v>0.77487765089720584</v>
      </c>
      <c r="F38" s="59">
        <v>6.1551087402534774E-2</v>
      </c>
      <c r="G38" s="59">
        <v>0.32909842338894491</v>
      </c>
      <c r="H38" s="30">
        <v>81771.141778992853</v>
      </c>
      <c r="I38" s="19">
        <f t="shared" si="5"/>
        <v>3.4954745623671108</v>
      </c>
      <c r="J38"/>
      <c r="K38" s="19"/>
      <c r="L38"/>
    </row>
    <row r="39" spans="1:12" x14ac:dyDescent="0.3">
      <c r="A39" t="s">
        <v>277</v>
      </c>
      <c r="B39">
        <v>2022</v>
      </c>
      <c r="C39" s="59">
        <v>-0.76573891512679504</v>
      </c>
      <c r="D39" s="59">
        <v>-0.10395010395011281</v>
      </c>
      <c r="E39" s="59">
        <v>0.9915014164306134</v>
      </c>
      <c r="F39" s="59">
        <v>0.43059257740413487</v>
      </c>
      <c r="G39" s="59">
        <v>0.35853230604926523</v>
      </c>
      <c r="H39" s="30">
        <v>86692.515382787504</v>
      </c>
      <c r="I39" s="19">
        <f t="shared" si="5"/>
        <v>6.0184724057001739</v>
      </c>
      <c r="J39"/>
      <c r="K39" s="19"/>
      <c r="L39"/>
    </row>
    <row r="40" spans="1:12" x14ac:dyDescent="0.3">
      <c r="A40" t="s">
        <v>278</v>
      </c>
      <c r="B40">
        <v>2022</v>
      </c>
      <c r="C40" s="59">
        <v>-0.13861935126141509</v>
      </c>
      <c r="D40" s="59">
        <v>0.31217481789803475</v>
      </c>
      <c r="E40" s="59">
        <v>0.74133440192347133</v>
      </c>
      <c r="F40" s="59">
        <v>0.65332788893426819</v>
      </c>
      <c r="G40" s="59">
        <v>0.49407114624505932</v>
      </c>
      <c r="H40" s="30">
        <v>87441.416368947481</v>
      </c>
      <c r="I40" s="19">
        <f t="shared" si="5"/>
        <v>0.86385887276800455</v>
      </c>
      <c r="J40"/>
      <c r="K40" s="19"/>
      <c r="L40"/>
    </row>
    <row r="41" spans="1:12" x14ac:dyDescent="0.3">
      <c r="A41" t="s">
        <v>256</v>
      </c>
      <c r="B41">
        <v>2022</v>
      </c>
      <c r="C41" s="59">
        <v>1.0642235794928743</v>
      </c>
      <c r="D41" s="59">
        <v>0.46680497925310022</v>
      </c>
      <c r="E41" s="59">
        <v>0.99443118536196151</v>
      </c>
      <c r="F41" s="59">
        <v>0.46653144016227416</v>
      </c>
      <c r="G41" s="59">
        <v>0.67317146963165353</v>
      </c>
      <c r="H41" s="30">
        <v>113228.86524779514</v>
      </c>
      <c r="I41" s="19">
        <f t="shared" si="5"/>
        <v>29.491115251428372</v>
      </c>
      <c r="J41"/>
      <c r="K41" s="19"/>
      <c r="L41"/>
    </row>
    <row r="42" spans="1:12" x14ac:dyDescent="0.3">
      <c r="A42" t="s">
        <v>268</v>
      </c>
      <c r="B42">
        <v>2022</v>
      </c>
      <c r="C42" s="59">
        <v>1.3780789305008656</v>
      </c>
      <c r="D42" s="59">
        <v>0.10325245224574965</v>
      </c>
      <c r="E42" s="59">
        <v>1.0634107916502629</v>
      </c>
      <c r="F42" s="59">
        <v>1.5949929335756059</v>
      </c>
      <c r="G42" s="59">
        <v>1.006761833208121</v>
      </c>
      <c r="H42" s="30">
        <v>128800.06584155018</v>
      </c>
      <c r="I42" s="19">
        <f t="shared" si="5"/>
        <v>13.75197089512319</v>
      </c>
      <c r="J42"/>
      <c r="K42" s="19"/>
      <c r="L42"/>
    </row>
    <row r="43" spans="1:12" x14ac:dyDescent="0.3">
      <c r="A43" t="s">
        <v>269</v>
      </c>
      <c r="B43">
        <v>2022</v>
      </c>
      <c r="C43" s="59">
        <v>1.1109605744479232</v>
      </c>
      <c r="D43" s="59">
        <v>0.10314595152139691</v>
      </c>
      <c r="E43" s="59">
        <v>1.05222135619641</v>
      </c>
      <c r="F43" s="59">
        <v>0.81478537360890746</v>
      </c>
      <c r="G43" s="59">
        <v>0.3719131210949122</v>
      </c>
      <c r="H43" s="30">
        <v>119633.62181054099</v>
      </c>
      <c r="I43" s="19">
        <f t="shared" si="5"/>
        <v>-7.1168007338488062</v>
      </c>
      <c r="J43"/>
      <c r="K43" s="19"/>
      <c r="L43"/>
    </row>
    <row r="44" spans="1:12" x14ac:dyDescent="0.3">
      <c r="A44" t="s">
        <v>270</v>
      </c>
      <c r="B44">
        <v>2022</v>
      </c>
      <c r="C44" s="59">
        <v>1.0272901871454525</v>
      </c>
      <c r="D44" s="59">
        <v>0.10303967027306392</v>
      </c>
      <c r="E44" s="59">
        <v>0.8484381025838752</v>
      </c>
      <c r="F44" s="59">
        <v>0.37453183520599925</v>
      </c>
      <c r="G44" s="59">
        <v>0.23714243367421206</v>
      </c>
      <c r="H44" s="30">
        <v>121897.63969956485</v>
      </c>
      <c r="I44" s="19">
        <f t="shared" si="5"/>
        <v>1.8924595400190221</v>
      </c>
      <c r="J44"/>
      <c r="K44" s="19"/>
      <c r="L44"/>
    </row>
    <row r="45" spans="1:12" x14ac:dyDescent="0.3">
      <c r="A45" t="s">
        <v>271</v>
      </c>
      <c r="B45">
        <v>2022</v>
      </c>
      <c r="C45" s="59">
        <v>0.19452672531942572</v>
      </c>
      <c r="D45" s="59">
        <v>0.15440041173442251</v>
      </c>
      <c r="E45" s="59">
        <v>0.74569789674953946</v>
      </c>
      <c r="F45" s="59">
        <v>1.0997643362136507</v>
      </c>
      <c r="G45" s="59">
        <v>0.62102617181724762</v>
      </c>
      <c r="H45" s="30">
        <v>128755.46490262874</v>
      </c>
      <c r="I45" s="19">
        <f t="shared" si="5"/>
        <v>5.6258884257037538</v>
      </c>
      <c r="J45"/>
      <c r="K45" s="19"/>
      <c r="L45"/>
    </row>
    <row r="46" spans="1:12" x14ac:dyDescent="0.3">
      <c r="A46" t="s">
        <v>272</v>
      </c>
      <c r="B46">
        <v>2022</v>
      </c>
      <c r="C46" s="59">
        <v>0.12796187618585758</v>
      </c>
      <c r="D46" s="59">
        <v>0.20554984583761854</v>
      </c>
      <c r="E46" s="59">
        <v>0.72119946858985651</v>
      </c>
      <c r="F46" s="59">
        <v>0.29137529137529139</v>
      </c>
      <c r="G46" s="59">
        <v>0.46289493019839695</v>
      </c>
      <c r="H46" s="30">
        <v>104567.31614182114</v>
      </c>
      <c r="I46" s="19">
        <f t="shared" si="5"/>
        <v>-18.786114266372987</v>
      </c>
      <c r="J46"/>
      <c r="K46" s="19"/>
      <c r="L46"/>
    </row>
    <row r="47" spans="1:12" x14ac:dyDescent="0.3">
      <c r="A47" t="s">
        <v>273</v>
      </c>
      <c r="B47">
        <v>2022</v>
      </c>
      <c r="C47" s="59">
        <v>0.51560021152828384</v>
      </c>
      <c r="D47" s="59">
        <v>0.46153846153846445</v>
      </c>
      <c r="E47" s="59">
        <v>0.82909364989635892</v>
      </c>
      <c r="F47" s="59">
        <v>0.42610885144296834</v>
      </c>
      <c r="G47" s="59">
        <v>0.36568419512906986</v>
      </c>
      <c r="H47" s="30">
        <v>95157.741525290738</v>
      </c>
      <c r="I47" s="19">
        <f t="shared" si="5"/>
        <v>-8.9985809751189478</v>
      </c>
      <c r="J47"/>
      <c r="K47" s="19"/>
      <c r="L47"/>
    </row>
    <row r="48" spans="1:12" x14ac:dyDescent="0.3">
      <c r="A48" t="s">
        <v>274</v>
      </c>
      <c r="B48">
        <v>2022</v>
      </c>
      <c r="C48" s="59">
        <v>0.7190144241308295</v>
      </c>
      <c r="D48" s="59">
        <v>0.20418580908627143</v>
      </c>
      <c r="E48" s="59">
        <v>0.57933096617455104</v>
      </c>
      <c r="F48" s="59">
        <v>0.69431051108968622</v>
      </c>
      <c r="G48" s="59">
        <v>0.40807403628945105</v>
      </c>
      <c r="H48" s="30">
        <v>99194.385511237808</v>
      </c>
      <c r="I48" s="19">
        <f t="shared" si="5"/>
        <v>4.2420552665956484</v>
      </c>
      <c r="J48"/>
      <c r="K48" s="19"/>
      <c r="L48"/>
    </row>
    <row r="49" spans="1:12" x14ac:dyDescent="0.3">
      <c r="A49" t="s">
        <v>275</v>
      </c>
      <c r="B49">
        <v>2022</v>
      </c>
      <c r="C49" s="59">
        <v>-2.1764680276846731E-2</v>
      </c>
      <c r="D49" s="59">
        <v>0.305654610290369</v>
      </c>
      <c r="E49" s="59">
        <v>0.59457450761797315</v>
      </c>
      <c r="F49" s="59">
        <v>0.45968205324650013</v>
      </c>
      <c r="G49" s="59">
        <v>0.38464329777196848</v>
      </c>
      <c r="H49" s="30">
        <v>100258.75918442282</v>
      </c>
      <c r="I49" s="19">
        <f t="shared" si="5"/>
        <v>1.0730180621608105</v>
      </c>
      <c r="J49"/>
      <c r="K49" s="19"/>
      <c r="L49"/>
    </row>
    <row r="50" spans="1:12" x14ac:dyDescent="0.3">
      <c r="A50" t="s">
        <v>276</v>
      </c>
      <c r="B50">
        <v>2022</v>
      </c>
      <c r="C50" s="59">
        <v>-0.58342041100662179</v>
      </c>
      <c r="D50" s="59">
        <v>0.20314880650076469</v>
      </c>
      <c r="E50" s="59">
        <v>0.48023642408570799</v>
      </c>
      <c r="F50" s="59">
        <v>5.7197330791221072E-2</v>
      </c>
      <c r="G50" s="59">
        <v>0.52776171197223498</v>
      </c>
      <c r="H50" s="30">
        <v>94253.237400611397</v>
      </c>
      <c r="I50" s="19">
        <f t="shared" si="5"/>
        <v>-5.9900220516039413</v>
      </c>
      <c r="J50"/>
      <c r="K50" s="19"/>
      <c r="L50"/>
    </row>
    <row r="51" spans="1:12" x14ac:dyDescent="0.3">
      <c r="A51" t="s">
        <v>277</v>
      </c>
      <c r="B51">
        <v>2023</v>
      </c>
      <c r="C51" s="59">
        <v>0.40728737847068963</v>
      </c>
      <c r="D51" s="59">
        <v>0.45615813482005935</v>
      </c>
      <c r="E51" s="59">
        <v>0.42279411764705049</v>
      </c>
      <c r="F51" s="59">
        <v>0.41920731707317943</v>
      </c>
      <c r="G51" s="59">
        <v>0.51779935275079603</v>
      </c>
      <c r="H51" s="30">
        <v>92441.854830099124</v>
      </c>
      <c r="I51" s="19">
        <f t="shared" si="5"/>
        <v>-1.9218253085708041</v>
      </c>
      <c r="J51"/>
      <c r="K51" s="19"/>
      <c r="L51"/>
    </row>
    <row r="52" spans="1:12" x14ac:dyDescent="0.3">
      <c r="A52" t="s">
        <v>278</v>
      </c>
      <c r="B52">
        <v>2023</v>
      </c>
      <c r="C52" s="59">
        <v>-0.59318707201116194</v>
      </c>
      <c r="D52" s="59">
        <v>0.65590312815338625</v>
      </c>
      <c r="E52" s="59">
        <v>0.67728354384038914</v>
      </c>
      <c r="F52" s="59">
        <v>0.53130929791270487</v>
      </c>
      <c r="G52" s="59">
        <v>0.76554339271662553</v>
      </c>
      <c r="H52" s="30">
        <v>85798.258921224522</v>
      </c>
      <c r="I52" s="19">
        <f t="shared" si="5"/>
        <v>-7.1867834338514847</v>
      </c>
      <c r="J52"/>
      <c r="K52" s="19"/>
      <c r="L52"/>
    </row>
    <row r="53" spans="1:12" x14ac:dyDescent="0.3">
      <c r="A53" t="s">
        <v>256</v>
      </c>
      <c r="B53">
        <v>2023</v>
      </c>
      <c r="C53" s="59">
        <v>4.3876968978943031E-3</v>
      </c>
      <c r="D53" s="59">
        <v>0</v>
      </c>
      <c r="E53" s="59">
        <v>-1.8181818181822317E-2</v>
      </c>
      <c r="F53" s="59">
        <v>-3.7750094375244521E-2</v>
      </c>
      <c r="G53" s="59">
        <v>0</v>
      </c>
      <c r="H53" s="30">
        <v>89613.478577777831</v>
      </c>
      <c r="I53" s="19">
        <f t="shared" si="5"/>
        <v>4.446733190770507</v>
      </c>
      <c r="J53"/>
      <c r="K53" s="19"/>
      <c r="L53"/>
    </row>
    <row r="54" spans="1:12" x14ac:dyDescent="0.3">
      <c r="C54" s="19"/>
      <c r="D54"/>
      <c r="E54" s="19"/>
      <c r="F54"/>
      <c r="G54" s="19"/>
      <c r="H54"/>
      <c r="I54" s="19"/>
      <c r="J54"/>
      <c r="K54" s="19"/>
      <c r="L54"/>
    </row>
    <row r="55" spans="1:12" x14ac:dyDescent="0.3">
      <c r="C55" s="19"/>
      <c r="D55"/>
      <c r="E55" s="19"/>
      <c r="F55"/>
      <c r="G55" s="19"/>
      <c r="H55"/>
      <c r="I55" s="19"/>
      <c r="J55"/>
      <c r="K55" s="19"/>
      <c r="L55"/>
    </row>
    <row r="56" spans="1:12" x14ac:dyDescent="0.3">
      <c r="C56" s="19"/>
      <c r="D56"/>
      <c r="E56" s="19"/>
      <c r="F56"/>
      <c r="G56" s="19"/>
      <c r="H56"/>
      <c r="I56" s="19"/>
      <c r="J56"/>
      <c r="K56" s="19"/>
      <c r="L56"/>
    </row>
  </sheetData>
  <mergeCells count="1">
    <mergeCell ref="A28:B2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0614-1DB3-4026-9C1E-4C6B2EBC0E29}">
  <dimension ref="A3:E46"/>
  <sheetViews>
    <sheetView topLeftCell="C32" workbookViewId="0">
      <selection activeCell="C33" sqref="C33:D46"/>
    </sheetView>
  </sheetViews>
  <sheetFormatPr defaultRowHeight="12.5" x14ac:dyDescent="0.25"/>
  <cols>
    <col min="1" max="1" width="22.81640625" bestFit="1" customWidth="1"/>
    <col min="2" max="2" width="15.90625" bestFit="1" customWidth="1"/>
    <col min="3" max="5" width="11.81640625" bestFit="1" customWidth="1"/>
    <col min="6" max="6" width="6.81640625" bestFit="1" customWidth="1"/>
    <col min="7" max="7" width="4.81640625" bestFit="1" customWidth="1"/>
    <col min="8" max="12" width="6.81640625" bestFit="1" customWidth="1"/>
    <col min="13" max="13" width="4.81640625" bestFit="1" customWidth="1"/>
    <col min="14" max="16" width="6.81640625" bestFit="1" customWidth="1"/>
    <col min="17" max="18" width="4.81640625" bestFit="1" customWidth="1"/>
    <col min="19" max="22" width="6.81640625" bestFit="1" customWidth="1"/>
    <col min="23" max="23" width="4.81640625" bestFit="1" customWidth="1"/>
    <col min="24" max="26" width="6.81640625" bestFit="1" customWidth="1"/>
    <col min="27" max="27" width="4.81640625" bestFit="1" customWidth="1"/>
    <col min="28" max="36" width="6.81640625" bestFit="1" customWidth="1"/>
    <col min="37" max="37" width="4.81640625" bestFit="1" customWidth="1"/>
    <col min="38" max="42" width="6.81640625" bestFit="1" customWidth="1"/>
    <col min="43" max="44" width="4.81640625" bestFit="1" customWidth="1"/>
    <col min="45" max="54" width="6.81640625" bestFit="1" customWidth="1"/>
    <col min="55" max="55" width="4.81640625" bestFit="1" customWidth="1"/>
    <col min="56" max="56" width="6.81640625" bestFit="1" customWidth="1"/>
    <col min="57" max="57" width="4.81640625" bestFit="1" customWidth="1"/>
    <col min="58" max="73" width="6.81640625" bestFit="1" customWidth="1"/>
    <col min="74" max="74" width="4.81640625" bestFit="1" customWidth="1"/>
    <col min="75" max="86" width="6.81640625" bestFit="1" customWidth="1"/>
    <col min="87" max="87" width="4.81640625" bestFit="1" customWidth="1"/>
    <col min="88" max="104" width="6.81640625" bestFit="1" customWidth="1"/>
    <col min="105" max="105" width="4.81640625" bestFit="1" customWidth="1"/>
    <col min="106" max="129" width="6.81640625" bestFit="1" customWidth="1"/>
    <col min="130" max="130" width="4.81640625" bestFit="1" customWidth="1"/>
    <col min="131" max="140" width="6.81640625" bestFit="1" customWidth="1"/>
    <col min="141" max="141" width="4.81640625" bestFit="1" customWidth="1"/>
    <col min="142" max="159" width="6.81640625" bestFit="1" customWidth="1"/>
    <col min="160" max="160" width="4.81640625" bestFit="1" customWidth="1"/>
    <col min="161" max="182" width="6.81640625" bestFit="1" customWidth="1"/>
    <col min="183" max="183" width="4.81640625" bestFit="1" customWidth="1"/>
    <col min="184" max="188" width="6.81640625" bestFit="1" customWidth="1"/>
    <col min="189" max="189" width="4.81640625" bestFit="1" customWidth="1"/>
    <col min="190" max="198" width="6.81640625" bestFit="1" customWidth="1"/>
    <col min="199" max="199" width="4.81640625" bestFit="1" customWidth="1"/>
    <col min="200" max="200" width="6.81640625" bestFit="1" customWidth="1"/>
    <col min="201" max="201" width="4.81640625" bestFit="1" customWidth="1"/>
    <col min="202" max="206" width="6.81640625" bestFit="1" customWidth="1"/>
    <col min="207" max="207" width="4.81640625" bestFit="1" customWidth="1"/>
    <col min="208" max="208" width="6.81640625" bestFit="1" customWidth="1"/>
    <col min="209" max="209" width="4.81640625" bestFit="1" customWidth="1"/>
    <col min="210" max="214" width="6.81640625" bestFit="1" customWidth="1"/>
    <col min="215" max="215" width="4.81640625" bestFit="1" customWidth="1"/>
    <col min="216" max="249" width="6.81640625" bestFit="1" customWidth="1"/>
    <col min="250" max="250" width="4.81640625" bestFit="1" customWidth="1"/>
    <col min="251" max="252" width="6.81640625" bestFit="1" customWidth="1"/>
    <col min="253" max="253" width="4.81640625" bestFit="1" customWidth="1"/>
    <col min="254" max="255" width="6.81640625" bestFit="1" customWidth="1"/>
    <col min="256" max="256" width="4.81640625" bestFit="1" customWidth="1"/>
    <col min="257" max="257" width="7.81640625" bestFit="1" customWidth="1"/>
    <col min="258" max="258" width="6.81640625" bestFit="1" customWidth="1"/>
    <col min="259" max="259" width="7.81640625" bestFit="1" customWidth="1"/>
    <col min="260" max="261" width="6.81640625" bestFit="1" customWidth="1"/>
    <col min="262" max="262" width="7.81640625" bestFit="1" customWidth="1"/>
    <col min="263" max="263" width="6.81640625" bestFit="1" customWidth="1"/>
    <col min="264" max="264" width="4.81640625" bestFit="1" customWidth="1"/>
    <col min="265" max="265" width="6.81640625" bestFit="1" customWidth="1"/>
    <col min="266" max="266" width="4.81640625" bestFit="1" customWidth="1"/>
    <col min="267" max="278" width="6.81640625" bestFit="1" customWidth="1"/>
    <col min="279" max="279" width="4.81640625" bestFit="1" customWidth="1"/>
    <col min="280" max="285" width="6.81640625" bestFit="1" customWidth="1"/>
    <col min="286" max="286" width="4.81640625" bestFit="1" customWidth="1"/>
    <col min="287" max="297" width="6.81640625" bestFit="1" customWidth="1"/>
    <col min="298" max="299" width="4.81640625" bestFit="1" customWidth="1"/>
    <col min="300" max="300" width="6.81640625" bestFit="1" customWidth="1"/>
    <col min="301" max="301" width="4.81640625" bestFit="1" customWidth="1"/>
    <col min="302" max="310" width="6.81640625" bestFit="1" customWidth="1"/>
    <col min="311" max="311" width="4.81640625" bestFit="1" customWidth="1"/>
    <col min="312" max="325" width="6.81640625" bestFit="1" customWidth="1"/>
    <col min="326" max="326" width="7.81640625" bestFit="1" customWidth="1"/>
    <col min="327" max="330" width="6.81640625" bestFit="1" customWidth="1"/>
    <col min="331" max="331" width="8.81640625" bestFit="1" customWidth="1"/>
    <col min="332" max="364" width="6.81640625" bestFit="1" customWidth="1"/>
    <col min="365" max="365" width="11.08984375" bestFit="1" customWidth="1"/>
  </cols>
  <sheetData>
    <row r="3" spans="1:2" x14ac:dyDescent="0.25">
      <c r="A3" s="100" t="s">
        <v>305</v>
      </c>
      <c r="B3" t="s">
        <v>308</v>
      </c>
    </row>
    <row r="4" spans="1:2" x14ac:dyDescent="0.25">
      <c r="A4" s="101" t="s">
        <v>31</v>
      </c>
      <c r="B4" s="102">
        <v>4559.0999999999995</v>
      </c>
    </row>
    <row r="5" spans="1:2" x14ac:dyDescent="0.25">
      <c r="A5" s="101" t="s">
        <v>35</v>
      </c>
      <c r="B5" s="102">
        <v>4559.7999999999993</v>
      </c>
    </row>
    <row r="6" spans="1:2" x14ac:dyDescent="0.25">
      <c r="A6" s="101" t="s">
        <v>36</v>
      </c>
      <c r="B6" s="102">
        <v>4570.3999999999996</v>
      </c>
    </row>
    <row r="7" spans="1:2" x14ac:dyDescent="0.25">
      <c r="A7" s="101" t="s">
        <v>37</v>
      </c>
      <c r="B7" s="102">
        <v>4178.1500000000005</v>
      </c>
    </row>
    <row r="8" spans="1:2" x14ac:dyDescent="0.25">
      <c r="A8" s="101" t="s">
        <v>38</v>
      </c>
      <c r="B8" s="102">
        <v>4632.8250000000007</v>
      </c>
    </row>
    <row r="9" spans="1:2" x14ac:dyDescent="0.25">
      <c r="A9" s="101" t="s">
        <v>39</v>
      </c>
      <c r="B9" s="102">
        <v>4133.2000000000007</v>
      </c>
    </row>
    <row r="10" spans="1:2" x14ac:dyDescent="0.25">
      <c r="A10" s="101" t="s">
        <v>40</v>
      </c>
      <c r="B10" s="102">
        <v>4171.0000000000009</v>
      </c>
    </row>
    <row r="11" spans="1:2" x14ac:dyDescent="0.25">
      <c r="A11" s="101" t="s">
        <v>41</v>
      </c>
      <c r="B11" s="102">
        <v>4200.2</v>
      </c>
    </row>
    <row r="12" spans="1:2" x14ac:dyDescent="0.25">
      <c r="A12" s="101" t="s">
        <v>42</v>
      </c>
      <c r="B12" s="102">
        <v>4211.7</v>
      </c>
    </row>
    <row r="13" spans="1:2" x14ac:dyDescent="0.25">
      <c r="A13" s="101" t="s">
        <v>43</v>
      </c>
      <c r="B13" s="102">
        <v>4243</v>
      </c>
    </row>
    <row r="14" spans="1:2" x14ac:dyDescent="0.25">
      <c r="A14" s="101" t="s">
        <v>44</v>
      </c>
      <c r="B14" s="102">
        <v>4265</v>
      </c>
    </row>
    <row r="15" spans="1:2" x14ac:dyDescent="0.25">
      <c r="A15" s="101" t="s">
        <v>45</v>
      </c>
      <c r="B15" s="102">
        <v>4254.0999999999995</v>
      </c>
    </row>
    <row r="16" spans="1:2" x14ac:dyDescent="0.25">
      <c r="A16" s="101" t="s">
        <v>306</v>
      </c>
      <c r="B16" s="102">
        <v>51978.474999999991</v>
      </c>
    </row>
    <row r="18" spans="1:5" x14ac:dyDescent="0.25">
      <c r="A18" s="100" t="s">
        <v>309</v>
      </c>
      <c r="B18" s="100" t="s">
        <v>307</v>
      </c>
    </row>
    <row r="19" spans="1:5" x14ac:dyDescent="0.25">
      <c r="A19" s="100" t="s">
        <v>305</v>
      </c>
      <c r="B19" t="s">
        <v>30</v>
      </c>
      <c r="C19" t="s">
        <v>34</v>
      </c>
      <c r="D19" t="s">
        <v>33</v>
      </c>
      <c r="E19" t="s">
        <v>306</v>
      </c>
    </row>
    <row r="20" spans="1:5" x14ac:dyDescent="0.25">
      <c r="A20" s="101">
        <v>2013</v>
      </c>
      <c r="B20" s="102">
        <v>110.40000000000002</v>
      </c>
      <c r="C20" s="102">
        <v>110.03333333333332</v>
      </c>
      <c r="D20" s="102">
        <v>109.60833333333333</v>
      </c>
      <c r="E20" s="102">
        <v>110.01388888888887</v>
      </c>
    </row>
    <row r="21" spans="1:5" x14ac:dyDescent="0.25">
      <c r="A21" s="101">
        <v>2014</v>
      </c>
      <c r="B21" s="102">
        <v>117.89166666666665</v>
      </c>
      <c r="C21" s="102">
        <v>117.34999999999998</v>
      </c>
      <c r="D21" s="102">
        <v>116.74166666666666</v>
      </c>
      <c r="E21" s="102">
        <v>117.32777777777773</v>
      </c>
    </row>
    <row r="22" spans="1:5" x14ac:dyDescent="0.25">
      <c r="A22" s="101">
        <v>2015</v>
      </c>
      <c r="B22" s="102">
        <v>124.30833333333335</v>
      </c>
      <c r="C22" s="102">
        <v>123.10833333333331</v>
      </c>
      <c r="D22" s="102">
        <v>121.69166666666666</v>
      </c>
      <c r="E22" s="102">
        <v>123.03611111111111</v>
      </c>
    </row>
    <row r="23" spans="1:5" x14ac:dyDescent="0.25">
      <c r="A23" s="101">
        <v>2016</v>
      </c>
      <c r="B23" s="102">
        <v>131.27499999999998</v>
      </c>
      <c r="C23" s="102">
        <v>129.20000000000002</v>
      </c>
      <c r="D23" s="102">
        <v>126.82499999999999</v>
      </c>
      <c r="E23" s="102">
        <v>129.10000000000002</v>
      </c>
    </row>
    <row r="24" spans="1:5" x14ac:dyDescent="0.25">
      <c r="A24" s="101">
        <v>2017</v>
      </c>
      <c r="B24" s="102">
        <v>135.6333333333333</v>
      </c>
      <c r="C24" s="102">
        <v>133.5</v>
      </c>
      <c r="D24" s="102">
        <v>131.02500000000001</v>
      </c>
      <c r="E24" s="102">
        <v>133.38611111111106</v>
      </c>
    </row>
    <row r="25" spans="1:5" x14ac:dyDescent="0.25">
      <c r="A25" s="101">
        <v>2018</v>
      </c>
      <c r="B25" s="102">
        <v>140.73333333333335</v>
      </c>
      <c r="C25" s="102">
        <v>138.77500000000001</v>
      </c>
      <c r="D25" s="102">
        <v>136.5</v>
      </c>
      <c r="E25" s="102">
        <v>138.66944444444448</v>
      </c>
    </row>
    <row r="26" spans="1:5" x14ac:dyDescent="0.25">
      <c r="A26" s="101">
        <v>2019</v>
      </c>
      <c r="B26" s="102">
        <v>145.18181818181819</v>
      </c>
      <c r="C26" s="102">
        <v>144.18181818181819</v>
      </c>
      <c r="D26" s="102">
        <v>143.01818181818183</v>
      </c>
      <c r="E26" s="102">
        <v>144.12727272727273</v>
      </c>
    </row>
    <row r="27" spans="1:5" x14ac:dyDescent="0.25">
      <c r="A27" s="101">
        <v>2020</v>
      </c>
      <c r="B27" s="102">
        <v>153.82500000000002</v>
      </c>
      <c r="C27" s="102">
        <v>152.7729166666667</v>
      </c>
      <c r="D27" s="102">
        <v>151.55000000000001</v>
      </c>
      <c r="E27" s="102">
        <v>152.71597222222223</v>
      </c>
    </row>
    <row r="28" spans="1:5" x14ac:dyDescent="0.25">
      <c r="A28" s="101">
        <v>2021</v>
      </c>
      <c r="B28" s="102">
        <v>162.03333333333333</v>
      </c>
      <c r="C28" s="102">
        <v>161.45833333333334</v>
      </c>
      <c r="D28" s="102">
        <v>160.7583333333333</v>
      </c>
      <c r="E28" s="102">
        <v>161.41666666666666</v>
      </c>
    </row>
    <row r="29" spans="1:5" x14ac:dyDescent="0.25">
      <c r="A29" s="101">
        <v>2022</v>
      </c>
      <c r="B29" s="102">
        <v>173.125</v>
      </c>
      <c r="C29" s="102">
        <v>172.14999999999998</v>
      </c>
      <c r="D29" s="102">
        <v>170.94999999999996</v>
      </c>
      <c r="E29" s="102">
        <v>172.07500000000002</v>
      </c>
    </row>
    <row r="30" spans="1:5" x14ac:dyDescent="0.25">
      <c r="A30" s="101">
        <v>2023</v>
      </c>
      <c r="B30" s="102">
        <v>178.47999999999996</v>
      </c>
      <c r="C30" s="102">
        <v>177.62</v>
      </c>
      <c r="D30" s="102">
        <v>176.61999999999998</v>
      </c>
      <c r="E30" s="102">
        <v>177.57333333333332</v>
      </c>
    </row>
    <row r="31" spans="1:5" x14ac:dyDescent="0.25">
      <c r="A31" s="101" t="s">
        <v>306</v>
      </c>
      <c r="B31" s="102">
        <v>140.96854838709677</v>
      </c>
      <c r="C31" s="102">
        <v>139.79254032258063</v>
      </c>
      <c r="D31" s="102">
        <v>138.42016129032257</v>
      </c>
      <c r="E31" s="102">
        <v>139.72708333333333</v>
      </c>
    </row>
    <row r="33" spans="3:4" ht="13" x14ac:dyDescent="0.3">
      <c r="C33" s="2" t="s">
        <v>310</v>
      </c>
      <c r="D33" s="2" t="s">
        <v>311</v>
      </c>
    </row>
    <row r="34" spans="3:4" ht="13" x14ac:dyDescent="0.3">
      <c r="C34" s="2" t="s">
        <v>3</v>
      </c>
      <c r="D34" s="37">
        <v>12.085220029035371</v>
      </c>
    </row>
    <row r="35" spans="3:4" ht="13" x14ac:dyDescent="0.3">
      <c r="C35" s="2" t="s">
        <v>4</v>
      </c>
      <c r="D35" s="37">
        <v>-1.0960038075584961</v>
      </c>
    </row>
    <row r="36" spans="3:4" ht="13" x14ac:dyDescent="0.3">
      <c r="C36" s="2" t="s">
        <v>5</v>
      </c>
      <c r="D36" s="37">
        <v>7.585802092885797</v>
      </c>
    </row>
    <row r="37" spans="3:4" ht="13" x14ac:dyDescent="0.3">
      <c r="C37" s="2" t="s">
        <v>6</v>
      </c>
      <c r="D37" s="37">
        <v>8.5207275393248896</v>
      </c>
    </row>
    <row r="38" spans="3:4" ht="13" x14ac:dyDescent="0.3">
      <c r="C38" s="2" t="s">
        <v>7</v>
      </c>
      <c r="D38" s="37">
        <v>-11.618753141804762</v>
      </c>
    </row>
    <row r="39" spans="3:4" ht="13" x14ac:dyDescent="0.3">
      <c r="C39" s="2" t="s">
        <v>8</v>
      </c>
      <c r="D39" s="37">
        <v>5.9318798655159055</v>
      </c>
    </row>
    <row r="40" spans="3:4" ht="13" x14ac:dyDescent="0.3">
      <c r="C40" s="2" t="s">
        <v>9</v>
      </c>
      <c r="D40" s="37">
        <v>6.562905770088399</v>
      </c>
    </row>
    <row r="41" spans="3:4" ht="13" x14ac:dyDescent="0.3">
      <c r="C41" s="2" t="s">
        <v>10</v>
      </c>
      <c r="D41" s="37">
        <v>15.169683733689968</v>
      </c>
    </row>
    <row r="42" spans="3:4" ht="13" x14ac:dyDescent="0.3">
      <c r="C42" s="2" t="s">
        <v>11</v>
      </c>
      <c r="D42" s="37">
        <v>3.3958434091501504</v>
      </c>
    </row>
    <row r="43" spans="3:4" ht="13" x14ac:dyDescent="0.3">
      <c r="C43" s="2" t="s">
        <v>12</v>
      </c>
      <c r="D43" s="37">
        <v>6.6560214551546064</v>
      </c>
    </row>
    <row r="44" spans="3:4" ht="13" x14ac:dyDescent="0.3">
      <c r="C44" s="2" t="s">
        <v>13</v>
      </c>
      <c r="D44" s="37">
        <v>2.8797010836310775</v>
      </c>
    </row>
    <row r="45" spans="3:4" ht="13" x14ac:dyDescent="0.3">
      <c r="C45" s="2" t="s">
        <v>14</v>
      </c>
      <c r="D45" s="37">
        <v>42.753076224379413</v>
      </c>
    </row>
    <row r="46" spans="3:4" ht="13" x14ac:dyDescent="0.3">
      <c r="C46" s="2" t="s">
        <v>15</v>
      </c>
      <c r="D46" s="37">
        <v>-1490.3232900262603</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B1169-35FC-4651-A1E8-5C32B47592A0}">
  <dimension ref="A1:W4"/>
  <sheetViews>
    <sheetView showGridLines="0" tabSelected="1" zoomScale="34" workbookViewId="0">
      <selection activeCell="Y15" sqref="Y15"/>
    </sheetView>
  </sheetViews>
  <sheetFormatPr defaultRowHeight="12.5" x14ac:dyDescent="0.25"/>
  <cols>
    <col min="4" max="4" width="2" customWidth="1"/>
    <col min="8" max="8" width="2.08984375" customWidth="1"/>
    <col min="12" max="12" width="2.36328125" customWidth="1"/>
    <col min="16" max="16" width="2.54296875" customWidth="1"/>
    <col min="19" max="19" width="13.81640625" customWidth="1"/>
    <col min="20" max="20" width="1.81640625" customWidth="1"/>
    <col min="23" max="23" width="13.81640625" customWidth="1"/>
  </cols>
  <sheetData>
    <row r="1" spans="1:23" ht="12.5" customHeight="1" x14ac:dyDescent="0.25">
      <c r="A1" s="99" t="s">
        <v>299</v>
      </c>
      <c r="B1" s="99"/>
      <c r="C1" s="99"/>
      <c r="E1" s="98" t="s">
        <v>300</v>
      </c>
      <c r="F1" s="98"/>
      <c r="G1" s="98"/>
      <c r="I1" s="98" t="s">
        <v>301</v>
      </c>
      <c r="J1" s="98"/>
      <c r="K1" s="98"/>
      <c r="M1" s="98" t="s">
        <v>302</v>
      </c>
      <c r="N1" s="98"/>
      <c r="O1" s="98"/>
      <c r="Q1" s="97" t="s">
        <v>303</v>
      </c>
      <c r="R1" s="97"/>
      <c r="S1" s="97"/>
      <c r="U1" s="97" t="s">
        <v>304</v>
      </c>
      <c r="V1" s="97"/>
      <c r="W1" s="97"/>
    </row>
    <row r="2" spans="1:23" ht="12.5" customHeight="1" x14ac:dyDescent="0.25">
      <c r="A2" s="99"/>
      <c r="B2" s="99"/>
      <c r="C2" s="99"/>
      <c r="E2" s="98"/>
      <c r="F2" s="98"/>
      <c r="G2" s="98"/>
      <c r="I2" s="98"/>
      <c r="J2" s="98"/>
      <c r="K2" s="98"/>
      <c r="M2" s="98"/>
      <c r="N2" s="98"/>
      <c r="O2" s="98"/>
      <c r="Q2" s="97"/>
      <c r="R2" s="97"/>
      <c r="S2" s="97"/>
      <c r="U2" s="97"/>
      <c r="V2" s="97"/>
      <c r="W2" s="97"/>
    </row>
    <row r="3" spans="1:23" ht="12.5" customHeight="1" x14ac:dyDescent="0.25">
      <c r="A3" s="99"/>
      <c r="B3" s="99"/>
      <c r="C3" s="99"/>
      <c r="E3" s="96">
        <f>MAX('Broad Categories'!$J$2:$J$373)</f>
        <v>179.8</v>
      </c>
      <c r="F3" s="96"/>
      <c r="G3" s="96"/>
      <c r="I3" s="96">
        <f>MIN('Broad Categories'!$J$2:$J$373)</f>
        <v>104</v>
      </c>
      <c r="J3" s="96"/>
      <c r="K3" s="96"/>
      <c r="M3" s="96">
        <f>AVERAGE('Broad Categories'!$J$2:$J$373)</f>
        <v>139.72708333333341</v>
      </c>
      <c r="N3" s="96"/>
      <c r="O3" s="96"/>
      <c r="Q3" s="96" t="str">
        <f>INDEX('Broad Categories'!$B$2:$B$373,MATCH(MAX('Broad Categories'!$J$2:$J$373),'Broad Categories'!$J$2:$J$373,0))</f>
        <v>May 2023</v>
      </c>
      <c r="R3" s="96"/>
      <c r="S3" s="96"/>
      <c r="U3" s="96" t="str">
        <f>INDEX('Broad Categories'!$B$2:$B$373,MATCH(MIN('Broad Categories'!$J$2:$J$373),'Broad Categories'!$J$2:$J$373,0))</f>
        <v>January 2013</v>
      </c>
      <c r="V3" s="96"/>
      <c r="W3" s="96"/>
    </row>
    <row r="4" spans="1:23" ht="12.5" customHeight="1" x14ac:dyDescent="0.25">
      <c r="A4" s="99"/>
      <c r="B4" s="99"/>
      <c r="C4" s="99"/>
      <c r="E4" s="96"/>
      <c r="F4" s="96"/>
      <c r="G4" s="96"/>
      <c r="I4" s="96"/>
      <c r="J4" s="96"/>
      <c r="K4" s="96"/>
      <c r="M4" s="96"/>
      <c r="N4" s="96"/>
      <c r="O4" s="96"/>
      <c r="Q4" s="96"/>
      <c r="R4" s="96"/>
      <c r="S4" s="96"/>
      <c r="U4" s="96"/>
      <c r="V4" s="96"/>
      <c r="W4" s="96"/>
    </row>
  </sheetData>
  <mergeCells count="11">
    <mergeCell ref="M1:O2"/>
    <mergeCell ref="M3:O4"/>
    <mergeCell ref="Q1:S2"/>
    <mergeCell ref="U1:W2"/>
    <mergeCell ref="Q3:S4"/>
    <mergeCell ref="U3:W4"/>
    <mergeCell ref="A1:C4"/>
    <mergeCell ref="E1:G2"/>
    <mergeCell ref="E3:G4"/>
    <mergeCell ref="I1:K2"/>
    <mergeCell ref="I3: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D5C28-D7AF-4653-BAA4-E561C683ECE6}">
  <dimension ref="B1:V229"/>
  <sheetViews>
    <sheetView showGridLines="0" zoomScale="75" workbookViewId="0">
      <selection activeCell="E16" sqref="E16"/>
    </sheetView>
  </sheetViews>
  <sheetFormatPr defaultRowHeight="12.5" x14ac:dyDescent="0.25"/>
  <cols>
    <col min="2" max="2" width="15.81640625" customWidth="1"/>
    <col min="5" max="5" width="24.90625" customWidth="1"/>
    <col min="8" max="8" width="16.54296875" customWidth="1"/>
    <col min="9" max="9" width="15.54296875" customWidth="1"/>
    <col min="10" max="23" width="22.90625" customWidth="1"/>
  </cols>
  <sheetData>
    <row r="1" spans="2:22" ht="13.5" thickBot="1" x14ac:dyDescent="0.35">
      <c r="H1" s="29" t="s">
        <v>248</v>
      </c>
    </row>
    <row r="2" spans="2:22" ht="13.5" thickBot="1" x14ac:dyDescent="0.35">
      <c r="B2" s="17" t="s">
        <v>207</v>
      </c>
      <c r="C2" s="17" t="s">
        <v>208</v>
      </c>
      <c r="E2" s="5" t="s">
        <v>49</v>
      </c>
      <c r="F2" s="4" t="s">
        <v>48</v>
      </c>
      <c r="H2" s="2" t="s">
        <v>1</v>
      </c>
      <c r="I2" s="2" t="s">
        <v>2</v>
      </c>
      <c r="J2" s="2" t="s">
        <v>3</v>
      </c>
      <c r="K2" s="2" t="s">
        <v>4</v>
      </c>
      <c r="L2" s="2" t="s">
        <v>5</v>
      </c>
      <c r="M2" s="2" t="s">
        <v>6</v>
      </c>
      <c r="N2" s="2" t="s">
        <v>7</v>
      </c>
      <c r="O2" s="2" t="s">
        <v>8</v>
      </c>
      <c r="P2" s="2" t="s">
        <v>9</v>
      </c>
      <c r="Q2" s="2" t="s">
        <v>10</v>
      </c>
      <c r="R2" s="2" t="s">
        <v>11</v>
      </c>
      <c r="S2" s="2" t="s">
        <v>12</v>
      </c>
      <c r="T2" s="2" t="s">
        <v>13</v>
      </c>
      <c r="U2" s="2" t="s">
        <v>14</v>
      </c>
      <c r="V2" s="2" t="s">
        <v>15</v>
      </c>
    </row>
    <row r="3" spans="2:22" x14ac:dyDescent="0.25">
      <c r="B3" s="15" t="s">
        <v>83</v>
      </c>
      <c r="C3" s="15">
        <v>100.3</v>
      </c>
      <c r="H3" s="1">
        <v>2022</v>
      </c>
      <c r="I3" s="1" t="s">
        <v>39</v>
      </c>
      <c r="J3" s="1">
        <v>0.58403634003893945</v>
      </c>
      <c r="K3" s="1">
        <v>1.1059907834101408</v>
      </c>
      <c r="L3" s="1">
        <v>5.172413793103452</v>
      </c>
      <c r="M3" s="1">
        <v>0.54578532443905736</v>
      </c>
      <c r="N3" s="1">
        <v>-0.74110671936758887</v>
      </c>
      <c r="O3" s="1">
        <v>-0.76023391812866159</v>
      </c>
      <c r="P3" s="1">
        <v>4.2309891366495167</v>
      </c>
      <c r="Q3" s="1">
        <v>-0.24286581663629467</v>
      </c>
      <c r="R3" s="1">
        <v>0.16708437761069578</v>
      </c>
      <c r="S3" s="1">
        <v>1.1898323418063756</v>
      </c>
      <c r="T3" s="1">
        <v>0.47875523638540479</v>
      </c>
      <c r="U3" s="1">
        <v>0.76712328767123594</v>
      </c>
      <c r="V3" s="1">
        <v>0.92325447201384547</v>
      </c>
    </row>
    <row r="4" spans="2:22" x14ac:dyDescent="0.25">
      <c r="B4" s="15" t="s">
        <v>84</v>
      </c>
      <c r="C4" s="18">
        <v>100.4</v>
      </c>
      <c r="H4" s="1">
        <v>2022</v>
      </c>
      <c r="I4" s="1" t="s">
        <v>40</v>
      </c>
      <c r="J4" s="1">
        <v>0.967741935483871</v>
      </c>
      <c r="K4" s="1">
        <v>-2.9170464904284437</v>
      </c>
      <c r="L4" s="1">
        <v>2.5761124121779724</v>
      </c>
      <c r="M4" s="1">
        <v>0.48250904704462172</v>
      </c>
      <c r="N4" s="1">
        <v>-0.10970927043336097</v>
      </c>
      <c r="O4" s="1">
        <v>0</v>
      </c>
      <c r="P4" s="1">
        <v>8.3402835696408939E-2</v>
      </c>
      <c r="Q4" s="1">
        <v>1.5499732763228251</v>
      </c>
      <c r="R4" s="1">
        <v>0.29779630732578916</v>
      </c>
      <c r="S4" s="1">
        <v>0.70690592713430289</v>
      </c>
      <c r="T4" s="1">
        <v>5.7175528873638831E-2</v>
      </c>
      <c r="U4" s="1">
        <v>65.698924731181748</v>
      </c>
      <c r="V4" s="1">
        <v>-363.74962017623784</v>
      </c>
    </row>
    <row r="5" spans="2:22" x14ac:dyDescent="0.25">
      <c r="B5" s="15" t="s">
        <v>85</v>
      </c>
      <c r="C5" s="18">
        <v>100.4</v>
      </c>
      <c r="H5" s="1">
        <v>2022</v>
      </c>
      <c r="I5" s="1" t="s">
        <v>41</v>
      </c>
      <c r="J5" s="1">
        <v>2.4281150159744485</v>
      </c>
      <c r="K5" s="1">
        <v>-3.051643192488263</v>
      </c>
      <c r="L5" s="1">
        <v>-3.4246575342465757</v>
      </c>
      <c r="M5" s="1">
        <v>0.90036014405762299</v>
      </c>
      <c r="N5" s="1">
        <v>2.5260845689181735</v>
      </c>
      <c r="O5" s="1">
        <v>1.7650639074862917</v>
      </c>
      <c r="P5" s="1">
        <v>0.75000000000000477</v>
      </c>
      <c r="Q5" s="1">
        <v>1.8947368421052602</v>
      </c>
      <c r="R5" s="1">
        <v>0.23752969121140477</v>
      </c>
      <c r="S5" s="1">
        <v>0.59395248380130827</v>
      </c>
      <c r="T5" s="1">
        <v>0.74285714285714932</v>
      </c>
      <c r="U5" s="1">
        <v>150.90521831735967</v>
      </c>
      <c r="V5" s="1">
        <v>4.6141431924881768</v>
      </c>
    </row>
    <row r="6" spans="2:22" x14ac:dyDescent="0.25">
      <c r="B6" s="15" t="s">
        <v>86</v>
      </c>
      <c r="C6" s="18">
        <v>100.5</v>
      </c>
      <c r="H6" s="1">
        <v>2022</v>
      </c>
      <c r="I6" s="1" t="s">
        <v>42</v>
      </c>
      <c r="J6" s="1">
        <v>1.9962570180910719</v>
      </c>
      <c r="K6" s="1">
        <v>1.3075060532687597</v>
      </c>
      <c r="L6" s="1">
        <v>0.29550827423167852</v>
      </c>
      <c r="M6" s="1">
        <v>0.951814396192739</v>
      </c>
      <c r="N6" s="1">
        <v>2.7316550615961557</v>
      </c>
      <c r="O6" s="1">
        <v>1.1363636363636398</v>
      </c>
      <c r="P6" s="1">
        <v>0.57899090157153732</v>
      </c>
      <c r="Q6" s="1">
        <v>1.9111570247933973</v>
      </c>
      <c r="R6" s="1">
        <v>0.35545023696682126</v>
      </c>
      <c r="S6" s="1">
        <v>0.59044551798174671</v>
      </c>
      <c r="T6" s="1">
        <v>0.85082246171298925</v>
      </c>
      <c r="U6" s="1">
        <v>-17.785730702302164</v>
      </c>
      <c r="V6" s="1">
        <v>-142.84596759173013</v>
      </c>
    </row>
    <row r="7" spans="2:22" x14ac:dyDescent="0.25">
      <c r="B7" s="15" t="s">
        <v>87</v>
      </c>
      <c r="C7" s="18">
        <v>100.5</v>
      </c>
      <c r="H7" s="1">
        <v>2022</v>
      </c>
      <c r="I7" s="1" t="s">
        <v>43</v>
      </c>
      <c r="J7" s="1">
        <v>1.0397553516819502</v>
      </c>
      <c r="K7" s="1">
        <v>0.81261950286807705</v>
      </c>
      <c r="L7" s="1">
        <v>0.70713022981733475</v>
      </c>
      <c r="M7" s="1">
        <v>0.70713022981733475</v>
      </c>
      <c r="N7" s="1">
        <v>4.1188738269030116</v>
      </c>
      <c r="O7" s="1">
        <v>0.41395623891189659</v>
      </c>
      <c r="P7" s="1">
        <v>0.24671052631579882</v>
      </c>
      <c r="Q7" s="1">
        <v>1.3177901672579797</v>
      </c>
      <c r="R7" s="1">
        <v>0.29515938606847697</v>
      </c>
      <c r="S7" s="1">
        <v>0.48025613660619304</v>
      </c>
      <c r="T7" s="1">
        <v>1.0123734533183255</v>
      </c>
      <c r="U7" s="1">
        <v>-47.914755351682118</v>
      </c>
      <c r="V7" s="1">
        <v>-37.849656539904217</v>
      </c>
    </row>
    <row r="8" spans="2:22" x14ac:dyDescent="0.25">
      <c r="B8" s="15" t="s">
        <v>88</v>
      </c>
      <c r="C8" s="18">
        <v>106.6</v>
      </c>
      <c r="H8" s="1">
        <v>2022</v>
      </c>
      <c r="I8" s="1" t="s">
        <v>44</v>
      </c>
      <c r="J8" s="1">
        <v>1.3317191283293082</v>
      </c>
      <c r="K8" s="1">
        <v>-0.71123755334281646</v>
      </c>
      <c r="L8" s="1">
        <v>6.1439438267992976</v>
      </c>
      <c r="M8" s="1">
        <v>0.81919251023990969</v>
      </c>
      <c r="N8" s="1">
        <v>-8.312468703054579</v>
      </c>
      <c r="O8" s="1">
        <v>0.41224970553591794</v>
      </c>
      <c r="P8" s="1">
        <v>0.16406890894174619</v>
      </c>
      <c r="Q8" s="1">
        <v>1.4507253626813434</v>
      </c>
      <c r="R8" s="1">
        <v>0.29429075927015891</v>
      </c>
      <c r="S8" s="1">
        <v>0.63728093467869806</v>
      </c>
      <c r="T8" s="1">
        <v>-0.7238307349665829</v>
      </c>
      <c r="U8" s="1">
        <v>28.080045577554909</v>
      </c>
      <c r="V8" s="1">
        <v>-187.52405656430335</v>
      </c>
    </row>
    <row r="9" spans="2:22" x14ac:dyDescent="0.25">
      <c r="B9" s="15" t="s">
        <v>89</v>
      </c>
      <c r="C9" s="18">
        <v>107.7</v>
      </c>
      <c r="H9" s="1">
        <v>2022</v>
      </c>
      <c r="I9" s="1" t="s">
        <v>45</v>
      </c>
      <c r="J9" s="1">
        <v>1.075268817204291</v>
      </c>
      <c r="K9" s="1">
        <v>-0.19102196752626824</v>
      </c>
      <c r="L9" s="1">
        <v>4.8511576626240256</v>
      </c>
      <c r="M9" s="1">
        <v>0.75449796865930518</v>
      </c>
      <c r="N9" s="1">
        <v>-12.670671764063348</v>
      </c>
      <c r="O9" s="1">
        <v>0.1759530791788923</v>
      </c>
      <c r="P9" s="1">
        <v>-0.2457002457002434</v>
      </c>
      <c r="Q9" s="1">
        <v>1.1834319526627106</v>
      </c>
      <c r="R9" s="1">
        <v>0.35211267605633467</v>
      </c>
      <c r="S9" s="1">
        <v>0.42216358839050727</v>
      </c>
      <c r="T9" s="1">
        <v>-1.3460459899046582</v>
      </c>
      <c r="U9" s="1">
        <v>-19.257086999023866</v>
      </c>
      <c r="V9" s="1">
        <v>-73.142311365806691</v>
      </c>
    </row>
    <row r="10" spans="2:22" x14ac:dyDescent="0.25">
      <c r="B10" s="15" t="s">
        <v>90</v>
      </c>
      <c r="C10" s="18">
        <v>108.9</v>
      </c>
      <c r="H10" s="1">
        <v>2023</v>
      </c>
      <c r="I10" s="1" t="s">
        <v>31</v>
      </c>
      <c r="J10" s="1">
        <v>2.7186761229314556</v>
      </c>
      <c r="K10" s="1">
        <v>0.81339712918659746</v>
      </c>
      <c r="L10" s="1">
        <v>2.2607781282860206</v>
      </c>
      <c r="M10" s="1">
        <v>0.57603686635944706</v>
      </c>
      <c r="N10" s="1">
        <v>-3.7523452157598496</v>
      </c>
      <c r="O10" s="1">
        <v>5.8548009367678171E-2</v>
      </c>
      <c r="P10" s="1">
        <v>-0.57471264367816322</v>
      </c>
      <c r="Q10" s="1">
        <v>1.5594541910331468</v>
      </c>
      <c r="R10" s="1">
        <v>0.23391812865497411</v>
      </c>
      <c r="S10" s="1">
        <v>0.47293746715710833</v>
      </c>
      <c r="T10" s="1">
        <v>0.45480386583284982</v>
      </c>
      <c r="U10" s="1">
        <v>152.83687943262774</v>
      </c>
      <c r="V10" s="1">
        <v>-525.8133971291777</v>
      </c>
    </row>
    <row r="11" spans="2:22" x14ac:dyDescent="0.25">
      <c r="B11" s="15" t="s">
        <v>91</v>
      </c>
      <c r="C11" s="18">
        <v>109.7</v>
      </c>
      <c r="H11" s="1">
        <v>2023</v>
      </c>
      <c r="I11" s="1" t="s">
        <v>35</v>
      </c>
      <c r="J11" s="1">
        <v>0.34522439585730397</v>
      </c>
      <c r="K11" s="1">
        <v>-1.423825344091125</v>
      </c>
      <c r="L11" s="1">
        <v>-9.922879177377899</v>
      </c>
      <c r="M11" s="1">
        <v>1.5463917525773294</v>
      </c>
      <c r="N11" s="1">
        <v>-0.77972709551658026</v>
      </c>
      <c r="O11" s="1">
        <v>5.8513750731418554E-2</v>
      </c>
      <c r="P11" s="1">
        <v>-0.90834021469859161</v>
      </c>
      <c r="Q11" s="1">
        <v>0.62380038387715109</v>
      </c>
      <c r="R11" s="1">
        <v>0.52508751458576763</v>
      </c>
      <c r="S11" s="1">
        <v>0.94142259414226537</v>
      </c>
      <c r="T11" s="1">
        <v>0.16977928692700134</v>
      </c>
      <c r="U11" s="1">
        <v>-87.301746134987937</v>
      </c>
      <c r="V11" s="1">
        <v>-275.04676289120414</v>
      </c>
    </row>
    <row r="12" spans="2:22" x14ac:dyDescent="0.25">
      <c r="B12" s="15" t="s">
        <v>92</v>
      </c>
      <c r="C12" s="18">
        <v>110.5</v>
      </c>
      <c r="H12" s="1">
        <v>2023</v>
      </c>
      <c r="I12" s="1" t="s">
        <v>36</v>
      </c>
      <c r="J12" s="1">
        <v>0</v>
      </c>
      <c r="K12" s="1">
        <v>0</v>
      </c>
      <c r="L12" s="1">
        <v>0</v>
      </c>
      <c r="M12" s="1">
        <v>0</v>
      </c>
      <c r="N12" s="1">
        <v>6.5487884741337751E-2</v>
      </c>
      <c r="O12" s="1">
        <v>5.8479532163739363E-2</v>
      </c>
      <c r="P12" s="1">
        <v>0</v>
      </c>
      <c r="Q12" s="1">
        <v>0</v>
      </c>
      <c r="R12" s="1">
        <v>0</v>
      </c>
      <c r="S12" s="1">
        <v>0</v>
      </c>
      <c r="T12" s="1">
        <v>0</v>
      </c>
      <c r="U12" s="1">
        <v>-100</v>
      </c>
      <c r="V12" s="1">
        <v>-100</v>
      </c>
    </row>
    <row r="13" spans="2:22" x14ac:dyDescent="0.25">
      <c r="B13" s="15" t="s">
        <v>93</v>
      </c>
      <c r="C13" s="18">
        <v>111.1</v>
      </c>
      <c r="H13" s="1">
        <v>2023</v>
      </c>
      <c r="I13" s="1" t="s">
        <v>37</v>
      </c>
      <c r="J13" s="1">
        <v>-0.34403669724770314</v>
      </c>
      <c r="K13" s="1">
        <v>0.77034183919115207</v>
      </c>
      <c r="L13" s="1">
        <v>-3.1963470319634673</v>
      </c>
      <c r="M13" s="1">
        <v>0.62041737168640398</v>
      </c>
      <c r="N13" s="1">
        <v>1.7015706806282684</v>
      </c>
      <c r="O13" s="1">
        <v>1.3442431326709592</v>
      </c>
      <c r="P13" s="1">
        <v>1.083333333333331</v>
      </c>
      <c r="Q13" s="1">
        <v>1.5259895088221351</v>
      </c>
      <c r="R13" s="1">
        <v>0.34822983168891136</v>
      </c>
      <c r="S13" s="1">
        <v>0.2590673575129534</v>
      </c>
      <c r="T13" s="1">
        <v>0.50847457627118964</v>
      </c>
      <c r="U13" s="1"/>
      <c r="V13" s="1"/>
    </row>
    <row r="14" spans="2:22" x14ac:dyDescent="0.25">
      <c r="B14" s="15" t="s">
        <v>94</v>
      </c>
      <c r="C14" s="18">
        <v>110.7</v>
      </c>
      <c r="H14" s="1">
        <v>2023</v>
      </c>
      <c r="I14" s="1" t="s">
        <v>38</v>
      </c>
      <c r="J14" s="1">
        <v>-5.7537399309564287E-2</v>
      </c>
      <c r="K14" s="1">
        <v>2.3889154323936932</v>
      </c>
      <c r="L14" s="1">
        <v>2.1226415094339588</v>
      </c>
      <c r="M14" s="1">
        <v>0.61659192825111786</v>
      </c>
      <c r="N14" s="1">
        <v>3.6036036036036001</v>
      </c>
      <c r="O14" s="1">
        <v>1.268742791234134</v>
      </c>
      <c r="P14" s="1">
        <v>1.1541632316570534</v>
      </c>
      <c r="Q14" s="1">
        <v>2.3954908407703117</v>
      </c>
      <c r="R14" s="1">
        <v>0.2891844997108155</v>
      </c>
      <c r="S14" s="1">
        <v>0.36175710594314658</v>
      </c>
      <c r="T14" s="1">
        <v>0.6745362563237709</v>
      </c>
      <c r="U14" s="1">
        <v>-83.275795934019811</v>
      </c>
      <c r="V14" s="1">
        <v>210.11108456760189</v>
      </c>
    </row>
    <row r="15" spans="2:22" x14ac:dyDescent="0.25">
      <c r="B15" s="15" t="s">
        <v>95</v>
      </c>
      <c r="C15" s="18">
        <v>111.6</v>
      </c>
    </row>
    <row r="16" spans="2:22" x14ac:dyDescent="0.25">
      <c r="B16" s="15" t="s">
        <v>96</v>
      </c>
      <c r="C16" s="18">
        <v>112.5</v>
      </c>
      <c r="I16" s="42" t="s">
        <v>239</v>
      </c>
      <c r="J16" s="37">
        <f t="shared" ref="J16:V16" si="0">SUM(J3:J14)</f>
        <v>12.085220029035371</v>
      </c>
      <c r="K16" s="37">
        <f t="shared" si="0"/>
        <v>-1.0960038075584961</v>
      </c>
      <c r="L16" s="37">
        <f t="shared" si="0"/>
        <v>7.585802092885797</v>
      </c>
      <c r="M16" s="37">
        <f t="shared" si="0"/>
        <v>8.5207275393248896</v>
      </c>
      <c r="N16" s="37">
        <f t="shared" si="0"/>
        <v>-11.618753141804762</v>
      </c>
      <c r="O16" s="37">
        <f t="shared" si="0"/>
        <v>5.9318798655159055</v>
      </c>
      <c r="P16" s="37">
        <f t="shared" si="0"/>
        <v>6.562905770088399</v>
      </c>
      <c r="Q16" s="37">
        <f t="shared" si="0"/>
        <v>15.169683733689968</v>
      </c>
      <c r="R16" s="37">
        <f t="shared" si="0"/>
        <v>3.3958434091501504</v>
      </c>
      <c r="S16" s="37">
        <f t="shared" si="0"/>
        <v>6.6560214551546064</v>
      </c>
      <c r="T16" s="37">
        <f t="shared" si="0"/>
        <v>2.8797010836310775</v>
      </c>
      <c r="U16" s="37">
        <f t="shared" si="0"/>
        <v>42.753076224379413</v>
      </c>
      <c r="V16" s="37">
        <f t="shared" si="0"/>
        <v>-1490.3232900262603</v>
      </c>
    </row>
    <row r="17" spans="2:15" x14ac:dyDescent="0.25">
      <c r="B17" s="15" t="s">
        <v>97</v>
      </c>
      <c r="C17" s="18">
        <v>113.2</v>
      </c>
    </row>
    <row r="18" spans="2:15" ht="13" x14ac:dyDescent="0.3">
      <c r="B18" s="15" t="s">
        <v>98</v>
      </c>
      <c r="C18" s="18">
        <v>113.9</v>
      </c>
      <c r="H18" s="29" t="s">
        <v>249</v>
      </c>
      <c r="I18" s="85" t="s">
        <v>250</v>
      </c>
      <c r="J18" s="85"/>
    </row>
    <row r="19" spans="2:15" ht="13" x14ac:dyDescent="0.3">
      <c r="B19" s="15" t="s">
        <v>99</v>
      </c>
      <c r="C19" s="18">
        <v>114.3</v>
      </c>
      <c r="H19" s="2" t="s">
        <v>1</v>
      </c>
      <c r="I19" s="2" t="s">
        <v>2</v>
      </c>
      <c r="J19" s="2" t="s">
        <v>245</v>
      </c>
      <c r="K19" s="2" t="s">
        <v>252</v>
      </c>
      <c r="L19" s="43" t="s">
        <v>246</v>
      </c>
      <c r="M19" s="2" t="s">
        <v>253</v>
      </c>
      <c r="N19" s="43" t="s">
        <v>247</v>
      </c>
      <c r="O19" s="2" t="s">
        <v>254</v>
      </c>
    </row>
    <row r="20" spans="2:15" x14ac:dyDescent="0.25">
      <c r="B20" s="15" t="s">
        <v>100</v>
      </c>
      <c r="C20" s="18">
        <v>113.9</v>
      </c>
      <c r="H20" s="1">
        <v>2018</v>
      </c>
      <c r="I20" s="1" t="s">
        <v>35</v>
      </c>
      <c r="J20">
        <v>1760.4</v>
      </c>
      <c r="L20">
        <v>815</v>
      </c>
      <c r="N20" s="1">
        <v>133.80000000000001</v>
      </c>
    </row>
    <row r="21" spans="2:15" x14ac:dyDescent="0.25">
      <c r="B21" s="15" t="s">
        <v>101</v>
      </c>
      <c r="C21" s="18">
        <v>114.8</v>
      </c>
      <c r="H21" s="1">
        <v>2018</v>
      </c>
      <c r="I21" s="1" t="s">
        <v>36</v>
      </c>
      <c r="J21">
        <v>1756</v>
      </c>
      <c r="K21" s="45">
        <f>($J21-$J20)/$J20*100</f>
        <v>-0.24994319472847595</v>
      </c>
      <c r="L21">
        <v>818</v>
      </c>
      <c r="M21" s="45">
        <f>($L21-$L20)/$L20*100</f>
        <v>0.36809815950920244</v>
      </c>
      <c r="N21">
        <v>134.30000000000001</v>
      </c>
      <c r="O21" s="45">
        <f>($N21-$N20)/$N20*100</f>
        <v>0.37369207772795215</v>
      </c>
    </row>
    <row r="22" spans="2:15" x14ac:dyDescent="0.25">
      <c r="B22" s="15" t="s">
        <v>102</v>
      </c>
      <c r="C22" s="18">
        <v>115.5</v>
      </c>
      <c r="H22" s="1">
        <v>2018</v>
      </c>
      <c r="I22" s="1" t="s">
        <v>37</v>
      </c>
      <c r="J22">
        <v>1757.1000000000001</v>
      </c>
      <c r="K22" s="45">
        <f t="shared" ref="K22:K43" si="1">($J22-$J21)/$J21*100</f>
        <v>6.2642369020508917E-2</v>
      </c>
      <c r="L22">
        <v>823.3</v>
      </c>
      <c r="M22" s="45">
        <f t="shared" ref="M22:M43" si="2">($L22-$L21)/$L21*100</f>
        <v>0.64792176039119243</v>
      </c>
      <c r="N22">
        <v>135.19999999999999</v>
      </c>
      <c r="O22" s="45">
        <f t="shared" ref="O22:O43" si="3">($N22-$N21)/$N21*100</f>
        <v>0.6701414743112265</v>
      </c>
    </row>
    <row r="23" spans="2:15" x14ac:dyDescent="0.25">
      <c r="B23" s="15" t="s">
        <v>103</v>
      </c>
      <c r="C23" s="18">
        <v>116.1</v>
      </c>
      <c r="H23" s="1">
        <v>2018</v>
      </c>
      <c r="I23" s="1" t="s">
        <v>38</v>
      </c>
      <c r="J23">
        <v>1759.8</v>
      </c>
      <c r="K23" s="45">
        <f t="shared" si="1"/>
        <v>0.15366228444595173</v>
      </c>
      <c r="L23">
        <v>827.19999999999993</v>
      </c>
      <c r="M23" s="45">
        <f t="shared" si="2"/>
        <v>0.47370338880116331</v>
      </c>
      <c r="N23">
        <v>136</v>
      </c>
      <c r="O23" s="45">
        <f t="shared" si="3"/>
        <v>0.59171597633136941</v>
      </c>
    </row>
    <row r="24" spans="2:15" x14ac:dyDescent="0.25">
      <c r="B24" s="15" t="s">
        <v>104</v>
      </c>
      <c r="C24" s="18">
        <v>116.7</v>
      </c>
      <c r="H24" s="1">
        <v>2018</v>
      </c>
      <c r="I24" s="1" t="s">
        <v>39</v>
      </c>
      <c r="J24">
        <v>1774.1000000000001</v>
      </c>
      <c r="K24" s="45">
        <f t="shared" si="1"/>
        <v>0.81259234003865111</v>
      </c>
      <c r="L24">
        <v>830.2</v>
      </c>
      <c r="M24" s="45">
        <f t="shared" si="2"/>
        <v>0.36266924564798281</v>
      </c>
      <c r="N24">
        <v>136.19999999999999</v>
      </c>
      <c r="O24" s="45">
        <f t="shared" si="3"/>
        <v>0.14705882352940342</v>
      </c>
    </row>
    <row r="25" spans="2:15" x14ac:dyDescent="0.25">
      <c r="B25" s="15"/>
      <c r="C25" s="18"/>
      <c r="H25" s="1">
        <v>2018</v>
      </c>
      <c r="I25" s="1" t="s">
        <v>40</v>
      </c>
      <c r="J25">
        <v>1795.3</v>
      </c>
      <c r="K25" s="45">
        <f t="shared" si="1"/>
        <v>1.1949720985288212</v>
      </c>
      <c r="L25">
        <v>835.8</v>
      </c>
      <c r="M25" s="45">
        <f t="shared" si="2"/>
        <v>0.67453625632376646</v>
      </c>
      <c r="N25">
        <v>137</v>
      </c>
      <c r="O25" s="45">
        <f t="shared" si="3"/>
        <v>0.58737151248165298</v>
      </c>
    </row>
    <row r="26" spans="2:15" x14ac:dyDescent="0.25">
      <c r="B26" s="15" t="s">
        <v>105</v>
      </c>
      <c r="C26" s="18">
        <v>117.1</v>
      </c>
      <c r="H26" s="1">
        <v>2018</v>
      </c>
      <c r="I26" s="1" t="s">
        <v>41</v>
      </c>
      <c r="J26">
        <v>1798.7000000000003</v>
      </c>
      <c r="K26" s="45">
        <f t="shared" si="1"/>
        <v>0.18938338996269807</v>
      </c>
      <c r="L26">
        <v>841.3</v>
      </c>
      <c r="M26" s="45">
        <f t="shared" si="2"/>
        <v>0.65805216558985413</v>
      </c>
      <c r="N26">
        <v>137.69999999999999</v>
      </c>
      <c r="O26" s="45">
        <f t="shared" si="3"/>
        <v>0.51094890510948077</v>
      </c>
    </row>
    <row r="27" spans="2:15" x14ac:dyDescent="0.25">
      <c r="B27" s="15"/>
      <c r="C27" s="18"/>
      <c r="H27" s="1">
        <v>2018</v>
      </c>
      <c r="I27" s="1" t="s">
        <v>42</v>
      </c>
      <c r="J27">
        <v>1779.5</v>
      </c>
      <c r="K27" s="45">
        <f t="shared" si="1"/>
        <v>-1.0674375938177723</v>
      </c>
      <c r="L27">
        <v>846</v>
      </c>
      <c r="M27" s="45">
        <f t="shared" si="2"/>
        <v>0.55865921787710038</v>
      </c>
      <c r="N27">
        <v>138.4</v>
      </c>
      <c r="O27" s="45">
        <f t="shared" si="3"/>
        <v>0.5083514887436581</v>
      </c>
    </row>
    <row r="28" spans="2:15" x14ac:dyDescent="0.25">
      <c r="B28" s="15" t="s">
        <v>106</v>
      </c>
      <c r="C28" s="18">
        <v>116.5</v>
      </c>
      <c r="H28" s="1">
        <v>2018</v>
      </c>
      <c r="I28" s="1" t="s">
        <v>43</v>
      </c>
      <c r="J28">
        <v>1776.2</v>
      </c>
      <c r="K28" s="45">
        <f t="shared" si="1"/>
        <v>-0.18544534981736188</v>
      </c>
      <c r="L28">
        <v>854.5</v>
      </c>
      <c r="M28" s="45">
        <f t="shared" si="2"/>
        <v>1.0047281323877069</v>
      </c>
      <c r="N28">
        <v>142.1</v>
      </c>
      <c r="O28" s="45">
        <f t="shared" si="3"/>
        <v>2.6734104046242693</v>
      </c>
    </row>
    <row r="29" spans="2:15" x14ac:dyDescent="0.25">
      <c r="B29" s="15"/>
      <c r="C29" s="18"/>
      <c r="H29" s="1">
        <v>2018</v>
      </c>
      <c r="I29" s="1" t="s">
        <v>44</v>
      </c>
      <c r="J29">
        <v>1775.7000000000003</v>
      </c>
      <c r="K29" s="45">
        <f t="shared" si="1"/>
        <v>-2.8149983109997334E-2</v>
      </c>
      <c r="L29">
        <v>854.2</v>
      </c>
      <c r="M29" s="45">
        <f t="shared" si="2"/>
        <v>-3.5108250438847813E-2</v>
      </c>
      <c r="N29">
        <v>142.1</v>
      </c>
      <c r="O29" s="45">
        <f t="shared" si="3"/>
        <v>0</v>
      </c>
    </row>
    <row r="30" spans="2:15" x14ac:dyDescent="0.25">
      <c r="B30" s="15" t="s">
        <v>107</v>
      </c>
      <c r="C30" s="18">
        <v>117.3</v>
      </c>
      <c r="H30" s="1">
        <v>2018</v>
      </c>
      <c r="I30" s="1" t="s">
        <v>45</v>
      </c>
      <c r="J30">
        <v>1762.7999999999997</v>
      </c>
      <c r="K30" s="45">
        <f t="shared" si="1"/>
        <v>-0.72647406656532887</v>
      </c>
      <c r="L30">
        <v>852.90000000000009</v>
      </c>
      <c r="M30" s="45">
        <f t="shared" si="2"/>
        <v>-0.1521891828611513</v>
      </c>
      <c r="N30">
        <v>144.9</v>
      </c>
      <c r="O30" s="45">
        <f t="shared" si="3"/>
        <v>1.9704433497537026</v>
      </c>
    </row>
    <row r="31" spans="2:15" x14ac:dyDescent="0.25">
      <c r="B31" s="15"/>
      <c r="C31" s="18"/>
      <c r="H31" s="1">
        <v>2019</v>
      </c>
      <c r="I31" s="1" t="s">
        <v>31</v>
      </c>
      <c r="J31">
        <v>1753.3999999999999</v>
      </c>
      <c r="K31" s="45">
        <f t="shared" si="1"/>
        <v>-0.533242568640791</v>
      </c>
      <c r="L31">
        <v>850.7</v>
      </c>
      <c r="M31" s="45">
        <f t="shared" si="2"/>
        <v>-0.2579434869269604</v>
      </c>
      <c r="N31">
        <v>145.1</v>
      </c>
      <c r="O31" s="45">
        <f t="shared" si="3"/>
        <v>0.13802622498273887</v>
      </c>
    </row>
    <row r="32" spans="2:15" x14ac:dyDescent="0.25">
      <c r="B32" s="15" t="s">
        <v>108</v>
      </c>
      <c r="C32" s="18">
        <v>118.1</v>
      </c>
      <c r="H32" s="1">
        <v>2019</v>
      </c>
      <c r="I32" s="1" t="s">
        <v>35</v>
      </c>
      <c r="J32">
        <v>1757.1</v>
      </c>
      <c r="K32" s="45">
        <f t="shared" si="1"/>
        <v>0.2110185924489589</v>
      </c>
      <c r="L32">
        <v>851.3</v>
      </c>
      <c r="M32" s="45">
        <f t="shared" si="2"/>
        <v>7.0530151639815325E-2</v>
      </c>
      <c r="N32">
        <v>145.6</v>
      </c>
      <c r="O32" s="45">
        <f t="shared" si="3"/>
        <v>0.34458993797381116</v>
      </c>
    </row>
    <row r="33" spans="2:15" x14ac:dyDescent="0.25">
      <c r="B33" s="15"/>
      <c r="C33" s="18"/>
      <c r="H33" s="1">
        <v>2019</v>
      </c>
      <c r="I33" s="1" t="s">
        <v>36</v>
      </c>
      <c r="J33">
        <v>1762.9</v>
      </c>
      <c r="K33" s="45">
        <f t="shared" si="1"/>
        <v>0.33008935177281784</v>
      </c>
      <c r="L33">
        <v>854.10000000000014</v>
      </c>
      <c r="M33" s="45">
        <f t="shared" si="2"/>
        <v>0.32890872782804909</v>
      </c>
      <c r="N33">
        <v>146.19999999999999</v>
      </c>
      <c r="O33" s="45">
        <f t="shared" si="3"/>
        <v>0.41208791208790818</v>
      </c>
    </row>
    <row r="34" spans="2:15" x14ac:dyDescent="0.25">
      <c r="B34" s="15" t="s">
        <v>109</v>
      </c>
      <c r="C34" s="18">
        <v>118.6</v>
      </c>
      <c r="H34" s="1">
        <v>2019</v>
      </c>
      <c r="I34" s="1" t="s">
        <v>38</v>
      </c>
      <c r="J34">
        <v>1791.9000000000003</v>
      </c>
      <c r="K34" s="45">
        <f t="shared" si="1"/>
        <v>1.6450167337909254</v>
      </c>
      <c r="L34">
        <v>857.9</v>
      </c>
      <c r="M34" s="45">
        <f t="shared" si="2"/>
        <v>0.44491277367987825</v>
      </c>
      <c r="N34">
        <v>146.9</v>
      </c>
      <c r="O34" s="45">
        <f t="shared" si="3"/>
        <v>0.47879616963065463</v>
      </c>
    </row>
    <row r="35" spans="2:15" x14ac:dyDescent="0.25">
      <c r="B35" s="15"/>
      <c r="C35" s="18"/>
      <c r="H35" s="1">
        <v>2019</v>
      </c>
      <c r="I35" s="1" t="s">
        <v>39</v>
      </c>
      <c r="J35">
        <v>1814.1000000000001</v>
      </c>
      <c r="K35" s="45">
        <f t="shared" si="1"/>
        <v>1.2389084212288528</v>
      </c>
      <c r="L35">
        <v>858.9</v>
      </c>
      <c r="M35" s="45">
        <f t="shared" si="2"/>
        <v>0.11656370206317754</v>
      </c>
      <c r="N35">
        <v>147.4</v>
      </c>
      <c r="O35" s="45">
        <f t="shared" si="3"/>
        <v>0.3403675970047651</v>
      </c>
    </row>
    <row r="36" spans="2:15" x14ac:dyDescent="0.25">
      <c r="B36" s="15" t="s">
        <v>110</v>
      </c>
      <c r="C36" s="18">
        <v>119.2</v>
      </c>
      <c r="H36" s="1">
        <v>2019</v>
      </c>
      <c r="I36" s="1" t="s">
        <v>40</v>
      </c>
      <c r="J36">
        <v>1837.5</v>
      </c>
      <c r="K36" s="45">
        <f t="shared" si="1"/>
        <v>1.289895816107153</v>
      </c>
      <c r="L36">
        <v>861.30000000000007</v>
      </c>
      <c r="M36" s="45">
        <f t="shared" si="2"/>
        <v>0.27942717429271058</v>
      </c>
      <c r="N36">
        <v>147.9</v>
      </c>
      <c r="O36" s="45">
        <f t="shared" si="3"/>
        <v>0.33921302578018991</v>
      </c>
    </row>
    <row r="37" spans="2:15" x14ac:dyDescent="0.25">
      <c r="B37" s="15"/>
      <c r="C37" s="18"/>
      <c r="H37" s="1">
        <v>2019</v>
      </c>
      <c r="I37" s="1" t="s">
        <v>41</v>
      </c>
      <c r="J37">
        <v>1846.5</v>
      </c>
      <c r="K37" s="45">
        <f t="shared" si="1"/>
        <v>0.48979591836734693</v>
      </c>
      <c r="L37">
        <v>863.19999999999993</v>
      </c>
      <c r="M37" s="45">
        <f t="shared" si="2"/>
        <v>0.22059677232089436</v>
      </c>
      <c r="N37">
        <v>148.5</v>
      </c>
      <c r="O37" s="45">
        <f t="shared" si="3"/>
        <v>0.40567951318458034</v>
      </c>
    </row>
    <row r="38" spans="2:15" x14ac:dyDescent="0.25">
      <c r="B38" s="15" t="s">
        <v>111</v>
      </c>
      <c r="C38" s="18">
        <v>119.6</v>
      </c>
      <c r="H38" s="1">
        <v>2019</v>
      </c>
      <c r="I38" s="1" t="s">
        <v>42</v>
      </c>
      <c r="J38">
        <v>1857.6999999999998</v>
      </c>
      <c r="K38" s="45">
        <f t="shared" si="1"/>
        <v>0.60655293799078358</v>
      </c>
      <c r="L38">
        <v>865.2</v>
      </c>
      <c r="M38" s="45">
        <f t="shared" si="2"/>
        <v>0.23169601482855817</v>
      </c>
      <c r="N38">
        <v>149</v>
      </c>
      <c r="O38" s="45">
        <f t="shared" si="3"/>
        <v>0.33670033670033667</v>
      </c>
    </row>
    <row r="39" spans="2:15" x14ac:dyDescent="0.25">
      <c r="B39" s="15"/>
      <c r="C39" s="18"/>
      <c r="H39" s="1">
        <v>2019</v>
      </c>
      <c r="I39" s="1" t="s">
        <v>43</v>
      </c>
      <c r="J39">
        <v>1885.5999999999997</v>
      </c>
      <c r="K39" s="45">
        <f t="shared" si="1"/>
        <v>1.501857135167135</v>
      </c>
      <c r="L39">
        <v>868.49999999999989</v>
      </c>
      <c r="M39" s="45">
        <f t="shared" si="2"/>
        <v>0.38141470180303289</v>
      </c>
      <c r="N39">
        <v>149.4</v>
      </c>
      <c r="O39" s="45">
        <f t="shared" si="3"/>
        <v>0.26845637583892995</v>
      </c>
    </row>
    <row r="40" spans="2:15" x14ac:dyDescent="0.25">
      <c r="B40" s="15" t="s">
        <v>112</v>
      </c>
      <c r="C40" s="18">
        <v>119</v>
      </c>
      <c r="H40" s="1">
        <v>2019</v>
      </c>
      <c r="I40" s="1" t="s">
        <v>44</v>
      </c>
      <c r="J40">
        <v>1910.9</v>
      </c>
      <c r="K40" s="45">
        <f t="shared" si="1"/>
        <v>1.3417479847263689</v>
      </c>
      <c r="L40">
        <v>871.80000000000007</v>
      </c>
      <c r="M40" s="45">
        <f t="shared" si="2"/>
        <v>0.3799654576856859</v>
      </c>
      <c r="N40">
        <v>149.9</v>
      </c>
      <c r="O40" s="45">
        <f t="shared" si="3"/>
        <v>0.33467202141900937</v>
      </c>
    </row>
    <row r="41" spans="2:15" x14ac:dyDescent="0.25">
      <c r="B41" s="15"/>
      <c r="C41" s="18"/>
      <c r="H41" s="1">
        <v>2019</v>
      </c>
      <c r="I41" s="1" t="s">
        <v>45</v>
      </c>
      <c r="J41">
        <v>1946.1000000000001</v>
      </c>
      <c r="K41" s="45">
        <f t="shared" si="1"/>
        <v>1.8420639489245927</v>
      </c>
      <c r="L41">
        <v>876.8</v>
      </c>
      <c r="M41" s="45">
        <f t="shared" si="2"/>
        <v>0.57352603808211589</v>
      </c>
      <c r="N41">
        <v>150.4</v>
      </c>
      <c r="O41" s="45">
        <f t="shared" si="3"/>
        <v>0.33355570380253502</v>
      </c>
    </row>
    <row r="42" spans="2:15" x14ac:dyDescent="0.25">
      <c r="B42" s="15" t="s">
        <v>113</v>
      </c>
      <c r="C42" s="18">
        <v>119.9</v>
      </c>
      <c r="H42" s="1">
        <v>2020</v>
      </c>
      <c r="I42" s="1" t="s">
        <v>31</v>
      </c>
      <c r="J42">
        <v>1940.3999999999999</v>
      </c>
      <c r="K42" s="45">
        <f t="shared" si="1"/>
        <v>-0.29289347926623877</v>
      </c>
      <c r="L42">
        <v>880.90000000000009</v>
      </c>
      <c r="M42" s="45">
        <f t="shared" si="2"/>
        <v>0.46760948905111044</v>
      </c>
      <c r="N42">
        <v>151.19999999999999</v>
      </c>
      <c r="O42" s="45">
        <f t="shared" si="3"/>
        <v>0.53191489361700994</v>
      </c>
    </row>
    <row r="43" spans="2:15" x14ac:dyDescent="0.25">
      <c r="B43" s="15"/>
      <c r="C43" s="18"/>
      <c r="H43" s="1">
        <v>2020</v>
      </c>
      <c r="I43" s="1" t="s">
        <v>35</v>
      </c>
      <c r="J43">
        <v>1911.6</v>
      </c>
      <c r="K43" s="45">
        <f t="shared" si="1"/>
        <v>-1.4842300556586248</v>
      </c>
      <c r="L43">
        <v>884.40000000000009</v>
      </c>
      <c r="M43" s="45">
        <f t="shared" si="2"/>
        <v>0.39732092178453848</v>
      </c>
      <c r="N43">
        <v>151.69999999999999</v>
      </c>
      <c r="O43" s="45">
        <f t="shared" si="3"/>
        <v>0.3306878306878307</v>
      </c>
    </row>
    <row r="44" spans="2:15" x14ac:dyDescent="0.25">
      <c r="B44" s="15" t="s">
        <v>114</v>
      </c>
      <c r="C44" s="18">
        <v>120.9</v>
      </c>
    </row>
    <row r="45" spans="2:15" x14ac:dyDescent="0.25">
      <c r="B45" s="15"/>
      <c r="C45" s="18"/>
    </row>
    <row r="46" spans="2:15" x14ac:dyDescent="0.25">
      <c r="B46" s="15" t="s">
        <v>115</v>
      </c>
      <c r="C46" s="18">
        <v>121.6</v>
      </c>
    </row>
    <row r="47" spans="2:15" ht="13" x14ac:dyDescent="0.3">
      <c r="B47" s="15"/>
      <c r="C47" s="18"/>
      <c r="I47" s="95" t="s">
        <v>251</v>
      </c>
      <c r="J47" s="95"/>
    </row>
    <row r="48" spans="2:15" ht="13" x14ac:dyDescent="0.3">
      <c r="B48" s="15" t="s">
        <v>116</v>
      </c>
      <c r="C48" s="18">
        <v>122.4</v>
      </c>
      <c r="H48" s="2" t="s">
        <v>1</v>
      </c>
      <c r="I48" s="2" t="s">
        <v>2</v>
      </c>
      <c r="J48" s="43" t="s">
        <v>245</v>
      </c>
      <c r="K48" s="2" t="s">
        <v>252</v>
      </c>
      <c r="L48" s="43" t="s">
        <v>246</v>
      </c>
      <c r="M48" s="2" t="s">
        <v>253</v>
      </c>
      <c r="N48" s="43" t="s">
        <v>247</v>
      </c>
      <c r="O48" s="2" t="s">
        <v>254</v>
      </c>
    </row>
    <row r="49" spans="2:15" x14ac:dyDescent="0.25">
      <c r="B49" s="15"/>
      <c r="C49" s="18"/>
      <c r="H49" s="1">
        <v>2020</v>
      </c>
      <c r="I49" s="1" t="s">
        <v>36</v>
      </c>
      <c r="J49">
        <v>1895.4</v>
      </c>
      <c r="K49" s="45">
        <f>($J49-$J43)/$J43*100</f>
        <v>-0.84745762711863448</v>
      </c>
      <c r="L49">
        <v>885.6</v>
      </c>
      <c r="M49" s="45">
        <f>($L49-$L43)/$L43*100</f>
        <v>0.13568521031206826</v>
      </c>
      <c r="N49">
        <v>152.30000000000001</v>
      </c>
      <c r="O49" s="45">
        <f>($N49-$N43)/$N43*100</f>
        <v>0.39551746868821541</v>
      </c>
    </row>
    <row r="50" spans="2:15" x14ac:dyDescent="0.25">
      <c r="B50" s="15" t="s">
        <v>117</v>
      </c>
      <c r="C50" s="18">
        <v>122.9</v>
      </c>
      <c r="H50" s="1">
        <v>2020</v>
      </c>
      <c r="I50" s="1" t="s">
        <v>37</v>
      </c>
      <c r="J50">
        <v>1961.65</v>
      </c>
      <c r="K50" s="45">
        <f>($J50-$J49)/$J49*100</f>
        <v>3.495304421230347</v>
      </c>
      <c r="L50">
        <v>877.15000000000009</v>
      </c>
      <c r="M50" s="45">
        <f>($L50-$L49)/$L49*100</f>
        <v>-0.95415537488707447</v>
      </c>
      <c r="N50">
        <v>150.69999999999999</v>
      </c>
      <c r="O50" s="45">
        <f>($N50-$N49)/$N49*100</f>
        <v>-1.0505581089954186</v>
      </c>
    </row>
    <row r="51" spans="2:15" x14ac:dyDescent="0.25">
      <c r="B51" s="15"/>
      <c r="C51" s="18"/>
      <c r="H51" s="1">
        <v>2020</v>
      </c>
      <c r="I51" s="1" t="s">
        <v>38</v>
      </c>
      <c r="J51">
        <v>2265.6249999999995</v>
      </c>
      <c r="K51" s="45">
        <f t="shared" ref="K51:K72" si="4">($J51-$J50)/$J50*100</f>
        <v>15.495883567404961</v>
      </c>
      <c r="L51">
        <v>881.47499999999991</v>
      </c>
      <c r="M51" s="45">
        <f t="shared" ref="M51:M72" si="5">($L51-$L50)/$L50*100</f>
        <v>0.49307416063385023</v>
      </c>
      <c r="N51">
        <v>152.55000000000001</v>
      </c>
      <c r="O51" s="45">
        <f t="shared" ref="O51:O72" si="6">($N51-$N50)/$N50*100</f>
        <v>1.2276045122760604</v>
      </c>
    </row>
    <row r="52" spans="2:15" x14ac:dyDescent="0.25">
      <c r="B52" s="15" t="s">
        <v>118</v>
      </c>
      <c r="C52" s="18">
        <v>122.4</v>
      </c>
      <c r="H52" s="1">
        <v>2020</v>
      </c>
      <c r="I52" s="1" t="s">
        <v>39</v>
      </c>
      <c r="J52">
        <v>1966.8000000000002</v>
      </c>
      <c r="K52" s="45">
        <f t="shared" si="4"/>
        <v>-13.189517241379283</v>
      </c>
      <c r="L52">
        <v>885.8</v>
      </c>
      <c r="M52" s="45">
        <f t="shared" si="5"/>
        <v>0.49065486826059113</v>
      </c>
      <c r="N52">
        <v>154.4</v>
      </c>
      <c r="O52" s="45">
        <f t="shared" si="6"/>
        <v>1.2127171419206779</v>
      </c>
    </row>
    <row r="53" spans="2:15" x14ac:dyDescent="0.25">
      <c r="B53" s="15"/>
      <c r="C53" s="18"/>
      <c r="H53" s="1">
        <v>2020</v>
      </c>
      <c r="I53" s="1" t="s">
        <v>40</v>
      </c>
      <c r="J53">
        <v>1966.8000000000002</v>
      </c>
      <c r="K53" s="45">
        <f t="shared" si="4"/>
        <v>0</v>
      </c>
      <c r="L53">
        <v>885.8</v>
      </c>
      <c r="M53" s="45">
        <f t="shared" si="5"/>
        <v>0</v>
      </c>
      <c r="N53">
        <v>154.4</v>
      </c>
      <c r="O53" s="45">
        <f t="shared" si="6"/>
        <v>0</v>
      </c>
    </row>
    <row r="54" spans="2:15" x14ac:dyDescent="0.25">
      <c r="B54" s="15" t="s">
        <v>119</v>
      </c>
      <c r="C54" s="18">
        <v>123.4</v>
      </c>
      <c r="H54" s="1">
        <v>2020</v>
      </c>
      <c r="I54" s="1" t="s">
        <v>41</v>
      </c>
      <c r="J54">
        <v>1995.1999999999998</v>
      </c>
      <c r="K54" s="45">
        <f t="shared" si="4"/>
        <v>1.4439699003457207</v>
      </c>
      <c r="L54">
        <v>895.6</v>
      </c>
      <c r="M54" s="45">
        <f t="shared" si="5"/>
        <v>1.1063445473018818</v>
      </c>
      <c r="N54">
        <v>155</v>
      </c>
      <c r="O54" s="45">
        <f t="shared" si="6"/>
        <v>0.38860103626942638</v>
      </c>
    </row>
    <row r="55" spans="2:15" x14ac:dyDescent="0.25">
      <c r="B55" s="15"/>
      <c r="C55" s="18"/>
      <c r="H55" s="1">
        <v>2020</v>
      </c>
      <c r="I55" s="1" t="s">
        <v>42</v>
      </c>
      <c r="J55">
        <v>2007</v>
      </c>
      <c r="K55" s="45">
        <f t="shared" si="4"/>
        <v>0.59141940657579106</v>
      </c>
      <c r="L55">
        <v>897.00000000000011</v>
      </c>
      <c r="M55" s="45">
        <f t="shared" si="5"/>
        <v>0.15631978561858989</v>
      </c>
      <c r="N55">
        <v>155.6</v>
      </c>
      <c r="O55" s="45">
        <f t="shared" si="6"/>
        <v>0.38709677419354471</v>
      </c>
    </row>
    <row r="56" spans="2:15" x14ac:dyDescent="0.25">
      <c r="B56" s="15" t="s">
        <v>120</v>
      </c>
      <c r="C56" s="18">
        <v>124.4</v>
      </c>
      <c r="H56" s="1">
        <v>2020</v>
      </c>
      <c r="I56" s="1" t="s">
        <v>43</v>
      </c>
      <c r="J56">
        <v>2048.6000000000004</v>
      </c>
      <c r="K56" s="45">
        <f t="shared" si="4"/>
        <v>2.0727453911310598</v>
      </c>
      <c r="L56">
        <v>899.69999999999993</v>
      </c>
      <c r="M56" s="45">
        <f t="shared" si="5"/>
        <v>0.30100334448158506</v>
      </c>
      <c r="N56">
        <v>156.30000000000001</v>
      </c>
      <c r="O56" s="45">
        <f t="shared" si="6"/>
        <v>0.44987146529564076</v>
      </c>
    </row>
    <row r="57" spans="2:15" x14ac:dyDescent="0.25">
      <c r="B57" s="15"/>
      <c r="C57" s="18"/>
      <c r="H57" s="1">
        <v>2020</v>
      </c>
      <c r="I57" s="1" t="s">
        <v>44</v>
      </c>
      <c r="J57">
        <v>2095.6</v>
      </c>
      <c r="K57" s="45">
        <f t="shared" si="4"/>
        <v>2.2942497315239447</v>
      </c>
      <c r="L57">
        <v>902.59999999999991</v>
      </c>
      <c r="M57" s="45">
        <f t="shared" si="5"/>
        <v>0.32232966544403441</v>
      </c>
      <c r="N57">
        <v>157.19999999999999</v>
      </c>
      <c r="O57" s="45">
        <f t="shared" si="6"/>
        <v>0.57581573896351712</v>
      </c>
    </row>
    <row r="58" spans="2:15" x14ac:dyDescent="0.25">
      <c r="B58" s="15" t="s">
        <v>121</v>
      </c>
      <c r="C58" s="18">
        <v>124.9</v>
      </c>
      <c r="H58" s="1">
        <v>2020</v>
      </c>
      <c r="I58" s="1" t="s">
        <v>45</v>
      </c>
      <c r="J58">
        <v>2109.1</v>
      </c>
      <c r="K58" s="45">
        <f t="shared" si="4"/>
        <v>0.64420690971559469</v>
      </c>
      <c r="L58">
        <v>906.4</v>
      </c>
      <c r="M58" s="45">
        <f t="shared" si="5"/>
        <v>0.42100598271660411</v>
      </c>
      <c r="N58">
        <v>158.30000000000001</v>
      </c>
      <c r="O58" s="45">
        <f t="shared" si="6"/>
        <v>0.69974554707380587</v>
      </c>
    </row>
    <row r="59" spans="2:15" x14ac:dyDescent="0.25">
      <c r="B59" s="15"/>
      <c r="C59" s="18"/>
      <c r="H59" s="1">
        <v>2021</v>
      </c>
      <c r="I59" s="1" t="s">
        <v>36</v>
      </c>
      <c r="J59">
        <v>2039.3999999999999</v>
      </c>
      <c r="K59" s="45">
        <f t="shared" si="4"/>
        <v>-3.3047271347968352</v>
      </c>
      <c r="L59">
        <v>929.40000000000009</v>
      </c>
      <c r="M59" s="45">
        <f t="shared" si="5"/>
        <v>2.5375110326566763</v>
      </c>
      <c r="N59">
        <v>161.69999999999999</v>
      </c>
      <c r="O59" s="45">
        <f t="shared" si="6"/>
        <v>2.1478205938092083</v>
      </c>
    </row>
    <row r="60" spans="2:15" x14ac:dyDescent="0.25">
      <c r="B60" s="15" t="s">
        <v>122</v>
      </c>
      <c r="C60" s="18">
        <v>125.6</v>
      </c>
      <c r="H60" s="1">
        <v>2021</v>
      </c>
      <c r="I60" s="1" t="s">
        <v>37</v>
      </c>
      <c r="J60">
        <v>2064.1</v>
      </c>
      <c r="K60" s="45">
        <f t="shared" si="4"/>
        <v>1.2111405315288835</v>
      </c>
      <c r="L60">
        <v>933.00000000000023</v>
      </c>
      <c r="M60" s="45">
        <f t="shared" si="5"/>
        <v>0.38734667527438521</v>
      </c>
      <c r="N60">
        <v>162.30000000000001</v>
      </c>
      <c r="O60" s="45">
        <f t="shared" si="6"/>
        <v>0.3710575139146709</v>
      </c>
    </row>
    <row r="61" spans="2:15" x14ac:dyDescent="0.25">
      <c r="B61" s="15"/>
      <c r="C61" s="18"/>
      <c r="H61" s="1">
        <v>2021</v>
      </c>
      <c r="I61" s="1" t="s">
        <v>38</v>
      </c>
      <c r="J61">
        <v>2105.7000000000003</v>
      </c>
      <c r="K61" s="45">
        <f t="shared" si="4"/>
        <v>2.0154062303183164</v>
      </c>
      <c r="L61">
        <v>946.19999999999982</v>
      </c>
      <c r="M61" s="45">
        <f t="shared" si="5"/>
        <v>1.4147909967845218</v>
      </c>
      <c r="N61">
        <v>165.8</v>
      </c>
      <c r="O61" s="45">
        <f t="shared" si="6"/>
        <v>2.1565003080714726</v>
      </c>
    </row>
    <row r="62" spans="2:15" x14ac:dyDescent="0.25">
      <c r="B62" s="15" t="s">
        <v>123</v>
      </c>
      <c r="C62" s="18">
        <v>126</v>
      </c>
      <c r="H62" s="1">
        <v>2021</v>
      </c>
      <c r="I62" s="1" t="s">
        <v>39</v>
      </c>
      <c r="J62">
        <v>2133.9</v>
      </c>
      <c r="K62" s="45">
        <f t="shared" si="4"/>
        <v>1.3392221114118732</v>
      </c>
      <c r="L62">
        <v>948.2</v>
      </c>
      <c r="M62" s="45">
        <f t="shared" si="5"/>
        <v>0.21137180300150366</v>
      </c>
      <c r="N62">
        <v>166.3</v>
      </c>
      <c r="O62" s="45">
        <f t="shared" si="6"/>
        <v>0.30156815440289503</v>
      </c>
    </row>
    <row r="63" spans="2:15" x14ac:dyDescent="0.25">
      <c r="B63" s="15"/>
      <c r="C63" s="18"/>
      <c r="H63" s="1">
        <v>2021</v>
      </c>
      <c r="I63" s="1" t="s">
        <v>40</v>
      </c>
      <c r="J63">
        <v>2147</v>
      </c>
      <c r="K63" s="45">
        <f t="shared" si="4"/>
        <v>0.61389943296311489</v>
      </c>
      <c r="L63">
        <v>955.7</v>
      </c>
      <c r="M63" s="45">
        <f t="shared" si="5"/>
        <v>0.79097236869858678</v>
      </c>
      <c r="N63">
        <v>167</v>
      </c>
      <c r="O63" s="45">
        <f t="shared" si="6"/>
        <v>0.42092603728201361</v>
      </c>
    </row>
    <row r="64" spans="2:15" x14ac:dyDescent="0.25">
      <c r="B64" s="15" t="s">
        <v>124</v>
      </c>
      <c r="C64" s="18">
        <v>125.5</v>
      </c>
      <c r="H64" s="1">
        <v>2021</v>
      </c>
      <c r="I64" s="1" t="s">
        <v>41</v>
      </c>
      <c r="J64">
        <v>2142</v>
      </c>
      <c r="K64" s="45">
        <f t="shared" si="4"/>
        <v>-0.2328830926874709</v>
      </c>
      <c r="L64">
        <v>963.2</v>
      </c>
      <c r="M64" s="45">
        <f t="shared" si="5"/>
        <v>0.78476509364863445</v>
      </c>
      <c r="N64">
        <v>168.4</v>
      </c>
      <c r="O64" s="45">
        <f t="shared" si="6"/>
        <v>0.83832335329341656</v>
      </c>
    </row>
    <row r="65" spans="2:15" x14ac:dyDescent="0.25">
      <c r="B65" s="15"/>
      <c r="C65" s="18"/>
      <c r="H65" s="1">
        <v>2021</v>
      </c>
      <c r="I65" s="1" t="s">
        <v>42</v>
      </c>
      <c r="J65">
        <v>2142</v>
      </c>
      <c r="K65" s="45">
        <f t="shared" si="4"/>
        <v>0</v>
      </c>
      <c r="L65">
        <v>963.2</v>
      </c>
      <c r="M65" s="45">
        <f t="shared" si="5"/>
        <v>0</v>
      </c>
      <c r="N65">
        <v>168.4</v>
      </c>
      <c r="O65" s="45">
        <f t="shared" si="6"/>
        <v>0</v>
      </c>
    </row>
    <row r="66" spans="2:15" x14ac:dyDescent="0.25">
      <c r="B66" s="15" t="s">
        <v>125</v>
      </c>
      <c r="C66" s="18">
        <v>126.4</v>
      </c>
      <c r="H66" s="1">
        <v>2021</v>
      </c>
      <c r="I66" s="1" t="s">
        <v>43</v>
      </c>
      <c r="J66">
        <v>2175.5</v>
      </c>
      <c r="K66" s="45">
        <f t="shared" si="4"/>
        <v>1.5639589169000934</v>
      </c>
      <c r="L66">
        <v>970.1</v>
      </c>
      <c r="M66" s="45">
        <f t="shared" si="5"/>
        <v>0.71636212624584472</v>
      </c>
      <c r="N66">
        <v>169.1</v>
      </c>
      <c r="O66" s="45">
        <f t="shared" si="6"/>
        <v>0.41567695961994572</v>
      </c>
    </row>
    <row r="67" spans="2:15" x14ac:dyDescent="0.25">
      <c r="B67" s="15"/>
      <c r="C67" s="18"/>
      <c r="H67" s="1">
        <v>2021</v>
      </c>
      <c r="I67" s="1" t="s">
        <v>44</v>
      </c>
      <c r="J67">
        <v>2194.1</v>
      </c>
      <c r="K67" s="45">
        <f t="shared" si="4"/>
        <v>0.85497586761663569</v>
      </c>
      <c r="L67">
        <v>972.3</v>
      </c>
      <c r="M67" s="45">
        <f t="shared" si="5"/>
        <v>0.22678074425316275</v>
      </c>
      <c r="N67">
        <v>169.9</v>
      </c>
      <c r="O67" s="45">
        <f t="shared" si="6"/>
        <v>0.47309284447073408</v>
      </c>
    </row>
    <row r="68" spans="2:15" x14ac:dyDescent="0.25">
      <c r="B68" s="15" t="s">
        <v>126</v>
      </c>
      <c r="C68" s="18">
        <v>127.3</v>
      </c>
      <c r="H68" s="1">
        <v>2021</v>
      </c>
      <c r="I68" s="1" t="s">
        <v>45</v>
      </c>
      <c r="J68">
        <v>2180.9</v>
      </c>
      <c r="K68" s="45">
        <f t="shared" si="4"/>
        <v>-0.60161341780227973</v>
      </c>
      <c r="L68">
        <v>974.80000000000007</v>
      </c>
      <c r="M68" s="45">
        <f t="shared" si="5"/>
        <v>0.25712228735988008</v>
      </c>
      <c r="N68">
        <v>170.6</v>
      </c>
      <c r="O68" s="45">
        <f t="shared" si="6"/>
        <v>0.41200706297821577</v>
      </c>
    </row>
    <row r="69" spans="2:15" x14ac:dyDescent="0.25">
      <c r="B69" s="15"/>
      <c r="C69" s="18"/>
      <c r="H69" s="1">
        <v>2022</v>
      </c>
      <c r="I69" s="1" t="s">
        <v>31</v>
      </c>
      <c r="J69">
        <v>2164.1999999999998</v>
      </c>
      <c r="K69" s="45">
        <f t="shared" si="4"/>
        <v>-0.76573891512679504</v>
      </c>
      <c r="L69">
        <v>979.5</v>
      </c>
      <c r="M69" s="45">
        <f t="shared" si="5"/>
        <v>0.48215018465325521</v>
      </c>
      <c r="N69">
        <v>171.4</v>
      </c>
      <c r="O69" s="45">
        <f t="shared" si="6"/>
        <v>0.46893317702228099</v>
      </c>
    </row>
    <row r="70" spans="2:15" x14ac:dyDescent="0.25">
      <c r="B70" s="15" t="s">
        <v>127</v>
      </c>
      <c r="C70" s="18">
        <v>127.9</v>
      </c>
      <c r="H70" s="1">
        <v>2022</v>
      </c>
      <c r="I70" s="1" t="s">
        <v>35</v>
      </c>
      <c r="J70">
        <v>2161.2000000000003</v>
      </c>
      <c r="K70" s="45">
        <f t="shared" si="4"/>
        <v>-0.13861935126141509</v>
      </c>
      <c r="L70">
        <v>984.9</v>
      </c>
      <c r="M70" s="45">
        <f t="shared" si="5"/>
        <v>0.55130168453292272</v>
      </c>
      <c r="N70">
        <v>172.2</v>
      </c>
      <c r="O70" s="45">
        <f t="shared" si="6"/>
        <v>0.46674445740955833</v>
      </c>
    </row>
    <row r="71" spans="2:15" x14ac:dyDescent="0.25">
      <c r="B71" s="15"/>
      <c r="C71" s="18"/>
      <c r="H71" s="1">
        <v>2022</v>
      </c>
      <c r="I71" s="1" t="s">
        <v>36</v>
      </c>
      <c r="J71">
        <v>2184.2000000000003</v>
      </c>
      <c r="K71" s="45">
        <f t="shared" si="4"/>
        <v>1.0642235794928743</v>
      </c>
      <c r="L71">
        <v>990.3</v>
      </c>
      <c r="M71" s="45">
        <f t="shared" si="5"/>
        <v>0.54827901309777416</v>
      </c>
      <c r="N71">
        <v>173</v>
      </c>
      <c r="O71" s="45">
        <f t="shared" si="6"/>
        <v>0.46457607433217851</v>
      </c>
    </row>
    <row r="72" spans="2:15" x14ac:dyDescent="0.25">
      <c r="B72" s="15" t="s">
        <v>128</v>
      </c>
      <c r="C72" s="18">
        <v>128.69999999999999</v>
      </c>
      <c r="H72" s="1">
        <v>2022</v>
      </c>
      <c r="I72" s="1" t="s">
        <v>37</v>
      </c>
      <c r="J72">
        <v>2279.1999999999998</v>
      </c>
      <c r="K72" s="45">
        <f t="shared" si="4"/>
        <v>4.3494185514146837</v>
      </c>
      <c r="L72">
        <v>1053.9000000000001</v>
      </c>
      <c r="M72" s="45">
        <f t="shared" si="5"/>
        <v>6.4222962738564222</v>
      </c>
      <c r="N72">
        <v>184.4</v>
      </c>
      <c r="O72" s="45">
        <f t="shared" si="6"/>
        <v>6.5895953757225474</v>
      </c>
    </row>
    <row r="73" spans="2:15" x14ac:dyDescent="0.25">
      <c r="B73" s="15"/>
      <c r="C73" s="18"/>
    </row>
    <row r="74" spans="2:15" ht="13" x14ac:dyDescent="0.3">
      <c r="B74" s="15" t="s">
        <v>129</v>
      </c>
      <c r="C74" s="18">
        <v>129.1</v>
      </c>
      <c r="H74" s="58"/>
    </row>
    <row r="75" spans="2:15" x14ac:dyDescent="0.25">
      <c r="B75" s="15"/>
      <c r="C75" s="18"/>
    </row>
    <row r="76" spans="2:15" x14ac:dyDescent="0.25">
      <c r="B76" s="15" t="s">
        <v>130</v>
      </c>
      <c r="C76" s="18">
        <v>128.5</v>
      </c>
    </row>
    <row r="77" spans="2:15" x14ac:dyDescent="0.25">
      <c r="B77" s="15"/>
      <c r="C77" s="18"/>
    </row>
    <row r="78" spans="2:15" x14ac:dyDescent="0.25">
      <c r="B78" s="15" t="s">
        <v>131</v>
      </c>
      <c r="C78" s="18">
        <v>129.6</v>
      </c>
    </row>
    <row r="79" spans="2:15" x14ac:dyDescent="0.25">
      <c r="B79" s="15"/>
      <c r="C79" s="18"/>
    </row>
    <row r="80" spans="2:15" x14ac:dyDescent="0.25">
      <c r="B80" s="15" t="s">
        <v>132</v>
      </c>
      <c r="C80" s="18">
        <v>130.5</v>
      </c>
    </row>
    <row r="81" spans="2:3" x14ac:dyDescent="0.25">
      <c r="B81" s="15"/>
      <c r="C81" s="18"/>
    </row>
    <row r="82" spans="2:3" x14ac:dyDescent="0.25">
      <c r="B82" s="15" t="s">
        <v>133</v>
      </c>
      <c r="C82" s="18">
        <v>131.1</v>
      </c>
    </row>
    <row r="83" spans="2:3" x14ac:dyDescent="0.25">
      <c r="B83" s="15"/>
      <c r="C83" s="18"/>
    </row>
    <row r="84" spans="2:3" x14ac:dyDescent="0.25">
      <c r="B84" s="15" t="s">
        <v>134</v>
      </c>
      <c r="C84" s="18">
        <v>131.69999999999999</v>
      </c>
    </row>
    <row r="85" spans="2:3" x14ac:dyDescent="0.25">
      <c r="B85" s="15"/>
      <c r="C85" s="18"/>
    </row>
    <row r="86" spans="2:3" x14ac:dyDescent="0.25">
      <c r="B86" s="15" t="s">
        <v>135</v>
      </c>
      <c r="C86" s="18">
        <v>132.1</v>
      </c>
    </row>
    <row r="87" spans="2:3" x14ac:dyDescent="0.25">
      <c r="B87" s="15"/>
      <c r="C87" s="18"/>
    </row>
    <row r="88" spans="2:3" x14ac:dyDescent="0.25">
      <c r="B88" s="15" t="s">
        <v>136</v>
      </c>
      <c r="C88" s="18">
        <v>131.4</v>
      </c>
    </row>
    <row r="89" spans="2:3" x14ac:dyDescent="0.25">
      <c r="B89" s="15"/>
      <c r="C89" s="18"/>
    </row>
    <row r="90" spans="2:3" x14ac:dyDescent="0.25">
      <c r="B90" s="15" t="s">
        <v>137</v>
      </c>
      <c r="C90" s="18">
        <v>132.6</v>
      </c>
    </row>
    <row r="91" spans="2:3" x14ac:dyDescent="0.25">
      <c r="B91" s="15"/>
      <c r="C91" s="18"/>
    </row>
    <row r="92" spans="2:3" x14ac:dyDescent="0.25">
      <c r="B92" s="15" t="s">
        <v>138</v>
      </c>
      <c r="C92" s="18">
        <v>134.4</v>
      </c>
    </row>
    <row r="93" spans="2:3" x14ac:dyDescent="0.25">
      <c r="B93" s="15"/>
      <c r="C93" s="18"/>
    </row>
    <row r="94" spans="2:3" x14ac:dyDescent="0.25">
      <c r="B94" s="15" t="s">
        <v>139</v>
      </c>
      <c r="C94" s="18">
        <v>135.69999999999999</v>
      </c>
    </row>
    <row r="95" spans="2:3" x14ac:dyDescent="0.25">
      <c r="B95" s="15"/>
      <c r="C95" s="18"/>
    </row>
    <row r="96" spans="2:3" x14ac:dyDescent="0.25">
      <c r="B96" s="15" t="s">
        <v>140</v>
      </c>
      <c r="C96" s="18">
        <v>137.30000000000001</v>
      </c>
    </row>
    <row r="97" spans="2:3" x14ac:dyDescent="0.25">
      <c r="B97" s="15"/>
      <c r="C97" s="18"/>
    </row>
    <row r="98" spans="2:3" x14ac:dyDescent="0.25">
      <c r="B98" s="15" t="s">
        <v>141</v>
      </c>
      <c r="C98" s="18">
        <v>138.6</v>
      </c>
    </row>
    <row r="99" spans="2:3" x14ac:dyDescent="0.25">
      <c r="B99" s="15"/>
      <c r="C99" s="18"/>
    </row>
    <row r="100" spans="2:3" x14ac:dyDescent="0.25">
      <c r="B100" s="15" t="s">
        <v>142</v>
      </c>
      <c r="C100" s="18">
        <v>139.1</v>
      </c>
    </row>
    <row r="101" spans="2:3" x14ac:dyDescent="0.25">
      <c r="B101" s="15"/>
      <c r="C101" s="18"/>
    </row>
    <row r="102" spans="2:3" x14ac:dyDescent="0.25">
      <c r="B102" s="15" t="s">
        <v>143</v>
      </c>
      <c r="C102" s="18">
        <v>140.4</v>
      </c>
    </row>
    <row r="103" spans="2:3" x14ac:dyDescent="0.25">
      <c r="B103" s="15"/>
      <c r="C103" s="18"/>
    </row>
    <row r="104" spans="2:3" x14ac:dyDescent="0.25">
      <c r="B104" s="15" t="s">
        <v>144</v>
      </c>
      <c r="C104" s="18">
        <v>141.30000000000001</v>
      </c>
    </row>
    <row r="105" spans="2:3" x14ac:dyDescent="0.25">
      <c r="B105" s="15"/>
      <c r="C105" s="18"/>
    </row>
    <row r="106" spans="2:3" x14ac:dyDescent="0.25">
      <c r="B106" s="15" t="s">
        <v>145</v>
      </c>
      <c r="C106" s="18">
        <v>142</v>
      </c>
    </row>
    <row r="107" spans="2:3" x14ac:dyDescent="0.25">
      <c r="B107" s="15"/>
      <c r="C107" s="18"/>
    </row>
    <row r="108" spans="2:3" x14ac:dyDescent="0.25">
      <c r="B108" s="15" t="s">
        <v>146</v>
      </c>
      <c r="C108" s="18">
        <v>142.9</v>
      </c>
    </row>
    <row r="109" spans="2:3" x14ac:dyDescent="0.25">
      <c r="B109" s="15"/>
      <c r="C109" s="18"/>
    </row>
    <row r="110" spans="2:3" x14ac:dyDescent="0.25">
      <c r="B110" s="15" t="s">
        <v>147</v>
      </c>
      <c r="C110" s="18">
        <v>143.19999999999999</v>
      </c>
    </row>
    <row r="111" spans="2:3" x14ac:dyDescent="0.25">
      <c r="B111" s="15"/>
      <c r="C111" s="18"/>
    </row>
    <row r="112" spans="2:3" x14ac:dyDescent="0.25">
      <c r="B112" s="15" t="s">
        <v>148</v>
      </c>
      <c r="C112" s="18">
        <v>142.5</v>
      </c>
    </row>
    <row r="113" spans="2:3" x14ac:dyDescent="0.25">
      <c r="B113" s="15"/>
      <c r="C113" s="18"/>
    </row>
    <row r="114" spans="2:3" x14ac:dyDescent="0.25">
      <c r="B114" s="15" t="s">
        <v>149</v>
      </c>
      <c r="C114" s="18">
        <v>143.6</v>
      </c>
    </row>
    <row r="115" spans="2:3" x14ac:dyDescent="0.25">
      <c r="B115" s="15"/>
      <c r="C115" s="18"/>
    </row>
    <row r="116" spans="2:3" x14ac:dyDescent="0.25">
      <c r="B116" s="15" t="s">
        <v>150</v>
      </c>
      <c r="C116" s="18">
        <v>144.6</v>
      </c>
    </row>
    <row r="117" spans="2:3" x14ac:dyDescent="0.25">
      <c r="B117" s="15"/>
      <c r="C117" s="18"/>
    </row>
    <row r="118" spans="2:3" x14ac:dyDescent="0.25">
      <c r="B118" s="15" t="s">
        <v>151</v>
      </c>
      <c r="C118" s="18">
        <v>145.30000000000001</v>
      </c>
    </row>
    <row r="119" spans="2:3" x14ac:dyDescent="0.25">
      <c r="B119" s="15"/>
      <c r="C119" s="18"/>
    </row>
    <row r="120" spans="2:3" x14ac:dyDescent="0.25">
      <c r="B120" s="15" t="s">
        <v>152</v>
      </c>
      <c r="C120" s="18">
        <v>146.30000000000001</v>
      </c>
    </row>
    <row r="121" spans="2:3" x14ac:dyDescent="0.25">
      <c r="B121" s="15" t="s">
        <v>152</v>
      </c>
      <c r="C121" s="18">
        <v>146.9</v>
      </c>
    </row>
    <row r="122" spans="2:3" x14ac:dyDescent="0.25">
      <c r="B122" s="15"/>
      <c r="C122" s="18"/>
    </row>
    <row r="123" spans="2:3" x14ac:dyDescent="0.25">
      <c r="B123" s="15" t="s">
        <v>153</v>
      </c>
      <c r="C123" s="18">
        <v>146.9</v>
      </c>
    </row>
    <row r="124" spans="2:3" x14ac:dyDescent="0.25">
      <c r="B124" s="15"/>
      <c r="C124" s="18"/>
    </row>
    <row r="125" spans="2:3" x14ac:dyDescent="0.25">
      <c r="B125" s="15" t="s">
        <v>154</v>
      </c>
      <c r="C125" s="18">
        <v>146.5</v>
      </c>
    </row>
    <row r="126" spans="2:3" x14ac:dyDescent="0.25">
      <c r="B126" s="15"/>
      <c r="C126" s="18"/>
    </row>
    <row r="127" spans="2:3" x14ac:dyDescent="0.25">
      <c r="B127" s="15" t="s">
        <v>155</v>
      </c>
      <c r="C127" s="18">
        <v>147.69999999999999</v>
      </c>
    </row>
    <row r="128" spans="2:3" x14ac:dyDescent="0.25">
      <c r="B128" s="15"/>
      <c r="C128" s="15"/>
    </row>
    <row r="129" spans="2:3" x14ac:dyDescent="0.25">
      <c r="B129" s="15" t="s">
        <v>156</v>
      </c>
      <c r="C129" s="15">
        <v>148.5</v>
      </c>
    </row>
    <row r="130" spans="2:3" x14ac:dyDescent="0.25">
      <c r="B130" s="15"/>
      <c r="C130" s="15"/>
    </row>
    <row r="131" spans="2:3" x14ac:dyDescent="0.25">
      <c r="B131" s="15" t="s">
        <v>157</v>
      </c>
      <c r="C131" s="15">
        <v>149</v>
      </c>
    </row>
    <row r="132" spans="2:3" x14ac:dyDescent="0.25">
      <c r="B132" s="15"/>
      <c r="C132" s="15"/>
    </row>
    <row r="133" spans="2:3" x14ac:dyDescent="0.25">
      <c r="B133" s="15" t="s">
        <v>158</v>
      </c>
      <c r="C133" s="15">
        <v>150.1</v>
      </c>
    </row>
    <row r="134" spans="2:3" x14ac:dyDescent="0.25">
      <c r="B134" s="15"/>
      <c r="C134" s="15"/>
    </row>
    <row r="135" spans="2:3" x14ac:dyDescent="0.25">
      <c r="B135" s="15" t="s">
        <v>159</v>
      </c>
      <c r="C135" s="15">
        <v>149.4</v>
      </c>
    </row>
    <row r="136" spans="2:3" x14ac:dyDescent="0.25">
      <c r="B136" s="15"/>
      <c r="C136" s="15"/>
    </row>
    <row r="137" spans="2:3" x14ac:dyDescent="0.25">
      <c r="B137" s="15" t="s">
        <v>160</v>
      </c>
      <c r="C137" s="15">
        <v>150.6</v>
      </c>
    </row>
    <row r="138" spans="2:3" x14ac:dyDescent="0.25">
      <c r="B138" s="15"/>
      <c r="C138" s="15"/>
    </row>
    <row r="139" spans="2:3" x14ac:dyDescent="0.25">
      <c r="B139" s="15" t="s">
        <v>161</v>
      </c>
      <c r="C139" s="15">
        <v>151.6</v>
      </c>
    </row>
    <row r="140" spans="2:3" x14ac:dyDescent="0.25">
      <c r="B140" s="15"/>
      <c r="C140" s="15"/>
    </row>
    <row r="141" spans="2:3" x14ac:dyDescent="0.25">
      <c r="B141" s="15" t="s">
        <v>162</v>
      </c>
      <c r="C141" s="15">
        <v>152.19999999999999</v>
      </c>
    </row>
    <row r="142" spans="2:3" x14ac:dyDescent="0.25">
      <c r="B142" s="15"/>
      <c r="C142" s="15"/>
    </row>
    <row r="143" spans="2:3" x14ac:dyDescent="0.25">
      <c r="B143" s="15" t="s">
        <v>163</v>
      </c>
      <c r="C143" s="15">
        <v>153</v>
      </c>
    </row>
    <row r="144" spans="2:3" x14ac:dyDescent="0.25">
      <c r="B144" s="15"/>
      <c r="C144" s="15"/>
    </row>
    <row r="145" spans="2:3" x14ac:dyDescent="0.25">
      <c r="B145" s="15" t="s">
        <v>164</v>
      </c>
      <c r="C145" s="15">
        <v>153.5</v>
      </c>
    </row>
    <row r="146" spans="2:3" x14ac:dyDescent="0.25">
      <c r="B146" s="15"/>
      <c r="C146" s="15"/>
    </row>
    <row r="147" spans="2:3" x14ac:dyDescent="0.25">
      <c r="B147" s="15" t="s">
        <v>165</v>
      </c>
      <c r="C147" s="15">
        <v>152.80000000000001</v>
      </c>
    </row>
    <row r="148" spans="2:3" x14ac:dyDescent="0.25">
      <c r="B148" s="15"/>
      <c r="C148" s="15"/>
    </row>
    <row r="149" spans="2:3" x14ac:dyDescent="0.25">
      <c r="B149" s="15" t="s">
        <v>166</v>
      </c>
      <c r="C149" s="15">
        <v>153.9</v>
      </c>
    </row>
    <row r="150" spans="2:3" x14ac:dyDescent="0.25">
      <c r="B150" s="15"/>
      <c r="C150" s="15"/>
    </row>
    <row r="151" spans="2:3" x14ac:dyDescent="0.25">
      <c r="B151" s="15" t="s">
        <v>167</v>
      </c>
      <c r="C151" s="15">
        <v>154.80000000000001</v>
      </c>
    </row>
    <row r="152" spans="2:3" x14ac:dyDescent="0.25">
      <c r="B152" s="15"/>
      <c r="C152" s="16"/>
    </row>
    <row r="153" spans="2:3" x14ac:dyDescent="0.25">
      <c r="B153" s="15" t="s">
        <v>168</v>
      </c>
      <c r="C153" s="15">
        <v>154.5</v>
      </c>
    </row>
    <row r="154" spans="2:3" x14ac:dyDescent="0.25">
      <c r="B154" s="15"/>
      <c r="C154" s="16"/>
    </row>
    <row r="155" spans="2:3" x14ac:dyDescent="0.25">
      <c r="B155" s="15" t="s">
        <v>169</v>
      </c>
      <c r="C155" s="15">
        <v>155.6</v>
      </c>
    </row>
    <row r="156" spans="2:3" x14ac:dyDescent="0.25">
      <c r="B156" s="15"/>
      <c r="C156" s="16"/>
    </row>
    <row r="157" spans="2:3" x14ac:dyDescent="0.25">
      <c r="B157" s="15" t="s">
        <v>170</v>
      </c>
      <c r="C157" s="16">
        <v>155.14999999999998</v>
      </c>
    </row>
    <row r="158" spans="2:3" x14ac:dyDescent="0.25">
      <c r="B158" s="15"/>
      <c r="C158" s="15"/>
    </row>
    <row r="159" spans="2:3" x14ac:dyDescent="0.25">
      <c r="B159" s="15" t="s">
        <v>171</v>
      </c>
      <c r="C159" s="15">
        <v>154.69999999999999</v>
      </c>
    </row>
    <row r="160" spans="2:3" x14ac:dyDescent="0.25">
      <c r="B160" s="15"/>
      <c r="C160" s="15"/>
    </row>
    <row r="161" spans="2:3" x14ac:dyDescent="0.25">
      <c r="B161" s="15" t="s">
        <v>172</v>
      </c>
      <c r="C161" s="15">
        <v>154.69999999999999</v>
      </c>
    </row>
    <row r="162" spans="2:3" x14ac:dyDescent="0.25">
      <c r="B162" s="15"/>
      <c r="C162" s="15"/>
    </row>
    <row r="163" spans="2:3" x14ac:dyDescent="0.25">
      <c r="B163" s="15" t="s">
        <v>173</v>
      </c>
      <c r="C163" s="15">
        <v>155.5</v>
      </c>
    </row>
    <row r="164" spans="2:3" x14ac:dyDescent="0.25">
      <c r="B164" s="15"/>
      <c r="C164" s="15"/>
    </row>
    <row r="165" spans="2:3" x14ac:dyDescent="0.25">
      <c r="B165" s="15" t="s">
        <v>174</v>
      </c>
      <c r="C165" s="15">
        <v>156.30000000000001</v>
      </c>
    </row>
    <row r="166" spans="2:3" x14ac:dyDescent="0.25">
      <c r="B166" s="15"/>
      <c r="C166" s="15"/>
    </row>
    <row r="167" spans="2:3" x14ac:dyDescent="0.25">
      <c r="B167" s="15" t="s">
        <v>175</v>
      </c>
      <c r="C167" s="15">
        <v>156.5</v>
      </c>
    </row>
    <row r="168" spans="2:3" x14ac:dyDescent="0.25">
      <c r="B168" s="15"/>
      <c r="C168" s="15"/>
    </row>
    <row r="169" spans="2:3" x14ac:dyDescent="0.25">
      <c r="B169" s="15" t="s">
        <v>176</v>
      </c>
      <c r="C169" s="15">
        <v>158</v>
      </c>
    </row>
    <row r="170" spans="2:3" x14ac:dyDescent="0.25">
      <c r="B170" s="15"/>
      <c r="C170" s="15"/>
    </row>
    <row r="171" spans="2:3" x14ac:dyDescent="0.25">
      <c r="B171" s="15" t="s">
        <v>177</v>
      </c>
      <c r="C171" s="15">
        <v>158.4</v>
      </c>
    </row>
    <row r="172" spans="2:3" x14ac:dyDescent="0.25">
      <c r="B172" s="15"/>
      <c r="C172" s="15"/>
    </row>
    <row r="173" spans="2:3" x14ac:dyDescent="0.25">
      <c r="B173" s="15" t="s">
        <v>178</v>
      </c>
      <c r="C173" s="15">
        <v>157.69999999999999</v>
      </c>
    </row>
    <row r="174" spans="2:3" x14ac:dyDescent="0.25">
      <c r="B174" s="15"/>
      <c r="C174" s="15"/>
    </row>
    <row r="175" spans="2:3" x14ac:dyDescent="0.25">
      <c r="B175" s="15" t="s">
        <v>179</v>
      </c>
      <c r="C175" s="15">
        <v>159.80000000000001</v>
      </c>
    </row>
    <row r="176" spans="2:3" x14ac:dyDescent="0.25">
      <c r="B176" s="15" t="s">
        <v>180</v>
      </c>
      <c r="C176" s="15" t="s">
        <v>47</v>
      </c>
    </row>
    <row r="177" spans="2:3" x14ac:dyDescent="0.25">
      <c r="B177" s="15" t="s">
        <v>180</v>
      </c>
      <c r="C177" s="15">
        <v>159.9</v>
      </c>
    </row>
    <row r="178" spans="2:3" x14ac:dyDescent="0.25">
      <c r="B178" s="15" t="s">
        <v>181</v>
      </c>
      <c r="C178" s="15" t="s">
        <v>47</v>
      </c>
    </row>
    <row r="179" spans="2:3" x14ac:dyDescent="0.25">
      <c r="B179" s="15" t="s">
        <v>181</v>
      </c>
      <c r="C179" s="15">
        <v>161.4</v>
      </c>
    </row>
    <row r="180" spans="2:3" x14ac:dyDescent="0.25">
      <c r="B180" s="15"/>
      <c r="C180" s="15"/>
    </row>
    <row r="181" spans="2:3" x14ac:dyDescent="0.25">
      <c r="B181" s="15" t="s">
        <v>182</v>
      </c>
      <c r="C181" s="15">
        <v>161.6</v>
      </c>
    </row>
    <row r="182" spans="2:3" x14ac:dyDescent="0.25">
      <c r="B182" s="15"/>
      <c r="C182" s="15"/>
    </row>
    <row r="183" spans="2:3" x14ac:dyDescent="0.25">
      <c r="B183" s="15" t="s">
        <v>183</v>
      </c>
      <c r="C183" s="15">
        <v>160.5</v>
      </c>
    </row>
    <row r="184" spans="2:3" x14ac:dyDescent="0.25">
      <c r="B184" s="15"/>
      <c r="C184" s="15"/>
    </row>
    <row r="185" spans="2:3" x14ac:dyDescent="0.25">
      <c r="B185" s="15" t="s">
        <v>184</v>
      </c>
      <c r="C185" s="15">
        <v>161.5</v>
      </c>
    </row>
    <row r="186" spans="2:3" x14ac:dyDescent="0.25">
      <c r="B186" s="15"/>
      <c r="C186" s="15"/>
    </row>
    <row r="187" spans="2:3" x14ac:dyDescent="0.25">
      <c r="B187" s="15" t="s">
        <v>185</v>
      </c>
      <c r="C187" s="15">
        <v>162.1</v>
      </c>
    </row>
    <row r="188" spans="2:3" x14ac:dyDescent="0.25">
      <c r="B188" s="15"/>
      <c r="C188" s="15"/>
    </row>
    <row r="189" spans="2:3" x14ac:dyDescent="0.25">
      <c r="B189" s="15" t="s">
        <v>186</v>
      </c>
      <c r="C189" s="15">
        <v>162.1</v>
      </c>
    </row>
    <row r="190" spans="2:3" x14ac:dyDescent="0.25">
      <c r="B190" s="15"/>
      <c r="C190" s="15"/>
    </row>
    <row r="191" spans="2:3" x14ac:dyDescent="0.25">
      <c r="B191" s="15" t="s">
        <v>187</v>
      </c>
      <c r="C191" s="15">
        <v>163.6</v>
      </c>
    </row>
    <row r="192" spans="2:3" x14ac:dyDescent="0.25">
      <c r="B192" s="15"/>
      <c r="C192" s="15"/>
    </row>
    <row r="193" spans="2:3" x14ac:dyDescent="0.25">
      <c r="B193" s="15" t="s">
        <v>188</v>
      </c>
      <c r="C193" s="15">
        <v>164.2</v>
      </c>
    </row>
    <row r="194" spans="2:3" x14ac:dyDescent="0.25">
      <c r="B194" s="15"/>
      <c r="C194" s="15"/>
    </row>
    <row r="195" spans="2:3" x14ac:dyDescent="0.25">
      <c r="B195" s="15" t="s">
        <v>189</v>
      </c>
      <c r="C195" s="15">
        <v>163.4</v>
      </c>
    </row>
    <row r="196" spans="2:3" x14ac:dyDescent="0.25">
      <c r="B196" s="15"/>
      <c r="C196" s="15"/>
    </row>
    <row r="197" spans="2:3" x14ac:dyDescent="0.25">
      <c r="B197" s="15" t="s">
        <v>190</v>
      </c>
      <c r="C197" s="15">
        <v>164.5</v>
      </c>
    </row>
    <row r="198" spans="2:3" x14ac:dyDescent="0.25">
      <c r="B198" s="15"/>
      <c r="C198" s="15"/>
    </row>
    <row r="199" spans="2:3" x14ac:dyDescent="0.25">
      <c r="B199" s="15" t="s">
        <v>191</v>
      </c>
      <c r="C199" s="15">
        <v>165.5</v>
      </c>
    </row>
    <row r="200" spans="2:3" x14ac:dyDescent="0.25">
      <c r="B200" s="15"/>
      <c r="C200" s="15"/>
    </row>
    <row r="201" spans="2:3" x14ac:dyDescent="0.25">
      <c r="B201" s="15" t="s">
        <v>192</v>
      </c>
      <c r="C201" s="15">
        <v>165.3</v>
      </c>
    </row>
    <row r="202" spans="2:3" x14ac:dyDescent="0.25">
      <c r="B202" s="15"/>
      <c r="C202" s="15"/>
    </row>
    <row r="203" spans="2:3" x14ac:dyDescent="0.25">
      <c r="B203" s="15" t="s">
        <v>193</v>
      </c>
      <c r="C203" s="15">
        <v>167</v>
      </c>
    </row>
    <row r="204" spans="2:3" x14ac:dyDescent="0.25">
      <c r="B204" s="15"/>
      <c r="C204" s="15"/>
    </row>
    <row r="205" spans="2:3" x14ac:dyDescent="0.25">
      <c r="B205" s="15" t="s">
        <v>194</v>
      </c>
      <c r="C205" s="15">
        <v>167.5</v>
      </c>
    </row>
    <row r="206" spans="2:3" x14ac:dyDescent="0.25">
      <c r="B206" s="15"/>
      <c r="C206" s="15"/>
    </row>
    <row r="207" spans="2:3" x14ac:dyDescent="0.25">
      <c r="B207" s="15" t="s">
        <v>195</v>
      </c>
      <c r="C207" s="15">
        <v>166.8</v>
      </c>
    </row>
    <row r="208" spans="2:3" x14ac:dyDescent="0.25">
      <c r="B208" s="15"/>
      <c r="C208" s="15"/>
    </row>
    <row r="209" spans="2:3" x14ac:dyDescent="0.25">
      <c r="B209" s="15" t="s">
        <v>196</v>
      </c>
      <c r="C209" s="15">
        <v>167.8</v>
      </c>
    </row>
    <row r="210" spans="2:3" x14ac:dyDescent="0.25">
      <c r="B210" s="15"/>
      <c r="C210" s="15"/>
    </row>
    <row r="211" spans="2:3" x14ac:dyDescent="0.25">
      <c r="B211" s="15" t="s">
        <v>197</v>
      </c>
      <c r="C211" s="15">
        <v>169</v>
      </c>
    </row>
    <row r="212" spans="2:3" x14ac:dyDescent="0.25">
      <c r="B212" s="15"/>
      <c r="C212" s="15"/>
    </row>
    <row r="213" spans="2:3" x14ac:dyDescent="0.25">
      <c r="B213" s="15" t="s">
        <v>198</v>
      </c>
      <c r="C213" s="15">
        <v>169.5</v>
      </c>
    </row>
    <row r="214" spans="2:3" x14ac:dyDescent="0.25">
      <c r="B214" s="15"/>
      <c r="C214" s="15"/>
    </row>
    <row r="215" spans="2:3" x14ac:dyDescent="0.25">
      <c r="B215" s="15" t="s">
        <v>199</v>
      </c>
      <c r="C215" s="15">
        <v>171.2</v>
      </c>
    </row>
    <row r="216" spans="2:3" x14ac:dyDescent="0.25">
      <c r="B216" s="15"/>
      <c r="C216" s="15"/>
    </row>
    <row r="217" spans="2:3" x14ac:dyDescent="0.25">
      <c r="B217" s="15" t="s">
        <v>200</v>
      </c>
      <c r="C217" s="15">
        <v>171.8</v>
      </c>
    </row>
    <row r="218" spans="2:3" x14ac:dyDescent="0.25">
      <c r="B218" s="15"/>
      <c r="C218" s="15"/>
    </row>
    <row r="219" spans="2:3" x14ac:dyDescent="0.25">
      <c r="B219" s="15" t="s">
        <v>201</v>
      </c>
      <c r="C219" s="15">
        <v>170.7</v>
      </c>
    </row>
    <row r="220" spans="2:3" x14ac:dyDescent="0.25">
      <c r="B220" s="15"/>
      <c r="C220" s="15"/>
    </row>
    <row r="221" spans="2:3" x14ac:dyDescent="0.25">
      <c r="B221" s="15" t="s">
        <v>202</v>
      </c>
      <c r="C221" s="15">
        <v>172.1</v>
      </c>
    </row>
    <row r="222" spans="2:3" x14ac:dyDescent="0.25">
      <c r="B222" s="15"/>
      <c r="C222" s="15"/>
    </row>
    <row r="223" spans="2:3" x14ac:dyDescent="0.25">
      <c r="B223" s="15" t="s">
        <v>203</v>
      </c>
      <c r="C223" s="15">
        <v>173.5</v>
      </c>
    </row>
    <row r="224" spans="2:3" x14ac:dyDescent="0.25">
      <c r="B224" s="15"/>
      <c r="C224" s="15"/>
    </row>
    <row r="225" spans="2:3" x14ac:dyDescent="0.25">
      <c r="B225" s="15" t="s">
        <v>204</v>
      </c>
      <c r="C225" s="15">
        <v>173.5</v>
      </c>
    </row>
    <row r="226" spans="2:3" x14ac:dyDescent="0.25">
      <c r="B226" s="15" t="s">
        <v>205</v>
      </c>
      <c r="C226" s="15" t="s">
        <v>47</v>
      </c>
    </row>
    <row r="227" spans="2:3" x14ac:dyDescent="0.25">
      <c r="B227" s="15" t="s">
        <v>205</v>
      </c>
      <c r="C227" s="15">
        <v>175.2</v>
      </c>
    </row>
    <row r="228" spans="2:3" x14ac:dyDescent="0.25">
      <c r="B228" s="15" t="s">
        <v>206</v>
      </c>
      <c r="C228" s="15" t="s">
        <v>47</v>
      </c>
    </row>
    <row r="229" spans="2:3" x14ac:dyDescent="0.25">
      <c r="B229" s="15" t="s">
        <v>206</v>
      </c>
      <c r="C229" s="15">
        <v>175.6</v>
      </c>
    </row>
  </sheetData>
  <autoFilter ref="B2:C229" xr:uid="{5C7D5C28-D7AF-4653-BAA4-E561C683ECE6}"/>
  <mergeCells count="2">
    <mergeCell ref="I18:J18"/>
    <mergeCell ref="I47:J47"/>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413ABA-7686-4BD7-8C9E-27A2D58000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Raw Data</vt:lpstr>
      <vt:lpstr>Data Dictionary</vt:lpstr>
      <vt:lpstr>Main Data</vt:lpstr>
      <vt:lpstr>Broad Categories</vt:lpstr>
      <vt:lpstr>EDA 1</vt:lpstr>
      <vt:lpstr>EDA 2</vt:lpstr>
      <vt:lpstr>EDA 3</vt:lpstr>
      <vt:lpstr>EDA 4</vt:lpstr>
      <vt:lpstr>Problem 4</vt:lpstr>
      <vt:lpstr>EDA 5</vt:lpstr>
      <vt:lpstr>Problem 5 Raw Data</vt:lpstr>
      <vt:lpstr>Problem 5</vt:lpstr>
      <vt:lpstr>Sheet4</vt:lpstr>
      <vt:lpstr>Dashboard</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Tanishq Bhardwaj</dc:creator>
  <cp:lastModifiedBy>Tanishq Bhardwaj</cp:lastModifiedBy>
  <dcterms:created xsi:type="dcterms:W3CDTF">2025-12-01T20:51:20Z</dcterms:created>
  <dcterms:modified xsi:type="dcterms:W3CDTF">2026-03-08T13:41:08Z</dcterms:modified>
</cp:coreProperties>
</file>